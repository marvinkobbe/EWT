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9087e2372dde2b/Studium/Master/3. Semester/Evaluation von Wirkstofftargets/"/>
    </mc:Choice>
  </mc:AlternateContent>
  <xr:revisionPtr revIDLastSave="31" documentId="8_{CA8B5153-01F1-4B07-82CA-4185EE6D4CAC}" xr6:coauthVersionLast="47" xr6:coauthVersionMax="47" xr10:uidLastSave="{94682E43-7C55-4CD7-BBD2-8DF99D2B943B}"/>
  <bookViews>
    <workbookView xWindow="-108" yWindow="-108" windowWidth="23256" windowHeight="12456" activeTab="4" xr2:uid="{00000000-000D-0000-FFFF-FFFF00000000}"/>
  </bookViews>
  <sheets>
    <sheet name="Sheet2" sheetId="4" r:id="rId1"/>
    <sheet name="Sheet1" sheetId="3" r:id="rId2"/>
    <sheet name="Sheet3" sheetId="5" r:id="rId3"/>
    <sheet name="Sheet0" sheetId="2" r:id="rId4"/>
    <sheet name="Tabelle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5" l="1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50" i="5"/>
  <c r="B49" i="5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50" i="4"/>
  <c r="B49" i="4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50" i="3"/>
  <c r="B49" i="3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50" i="2"/>
  <c r="B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Jaeger, Emmi</author>
  </authors>
  <commentList>
    <comment ref="E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Tecan.At.Common.UI.resources, 3.9.1.0
Tecan.At.Communication.Common, 3.9.1.0
Tecan.At.Communication.Port.IP, 3.9.1.0
Tecan.At.Communication.Port.RS232, 3.9.1.0
Tecan.At.Communication.Port.SIM.Common, 3.9.1.0
Tecan.At.Communication.Port.SIM.Common.resources, 3.9.1.0
Tecan.At.Communication.Port.USB, 3.9.1.0
Tecan.At.Communication.Server, 3.9.1.0
Tecan.At.Communication.SIM.AMR, 3.6.1.0
Tecan.At.Communication.SIM.AMR.resources, 3.6.1.0
Tecan.At.Communication.SIM.AMRPlus, 3.6.1.0
Tecan.At.Communication.SIM.AMRPlus.resources, 3.6.1.0
Tecan.At.Communication.SIM.Connect, 3.9.1.0
Tecan.At.Communication.SIM.GeniosUltra, 3.6.1.0
Tecan.At.Communication.SIM.GeniosUltra.resources, 3.6.1.0
Tecan.At.Communication.SIM.Safire3, 3.6.1.0
Tecan.At.Communication.SIM.Safire3.resources, 3.6.1.0
Tecan.At.Communication.SIM.Safire3Pro, 3.6.1.0
Tecan.At.Communication.SIM.Safire3Pro.resources, 3.6.1.0
Tecan.At.Communication.SIM.SunriseMini, 3.6.1.0
Tecan.At.Communication.SIM.SunriseMini.resources, 3.6.1.0
Tecan.At.Instrument.Common, 3.9.1.0
Tecan.At.Instrument.Common.GCM, 3.9.1.0
Tecan.At.Instrument.Common.Reader, 3.6.1.0
Tecan.At.Instrument.Common.resources, 3.9.1.0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Tecan.At.Instrument.Server.resources,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Tecan.At.XFluor.Connect.Reader.resources, 2.0.10.0
Tecan.At.XFluor.Core, 2.0.10.0
Tecan.At.XFluor.Core.resources, 2.0.10.0
Tecan.At.XFluor.Device, 2.0.10.0
Tecan.At.XFluor.Device.AMR, 2.0.10.0
Tecan.At.XFluor.Device.AMR.resources, 2.0.10.0
Tecan.At.XFluor.Device.AMRPlus, 2.0.10.0
Tecan.At.XFluor.Device.GeniosUltra, 2.0.10.0
Tecan.At.XFluor.Device.Reader, 2.0.10.0
Tecan.At.XFluor.Device.resources, 2.0.10.0
Tecan.At.XFluor.Device.Safire3, 2.0.10.0
Tecan.At.XFluor.Device.Safire3Pro, 2.0.10.0
Tecan.At.XFluor.Device.SunriseMini, 2.0.10.0
Tecan.At.XFluor.ExcelOutput, 2.0.10.0
Tecan.At.XFluor.ExcelOutput.resources, 2.0.10.0
Tecan.At.XFluor.NanoQuant, 2.0.10.0
Tecan.At.XFluor.NanoQuant.resources, 2.0.10.0
Tecan.At.XFluor.ReaderEditor, 2.0.10.0
Tecan.At.XFluor.ReaderEditor.resources, 2.0.10.0
Tecan.At.XFluor.resources,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 xml:space="preserve">EHC, V_2.02_11/06_InfiniTe (Dec 13 2006/16.18.16)
MTP, V_2.02_11/06_InfiniTe (Dec 13 2006/16.18.16)
FIL, V_2.00_04/06_FILTER (Apr  5 2006/11.37.11)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Jaeger, Emmi</author>
  </authors>
  <commentList>
    <comment ref="E1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Tecan.At.Common.UI.resources, 3.9.1.0
Tecan.At.Communication.Common, 3.9.1.0
Tecan.At.Communication.Port.IP, 3.9.1.0
Tecan.At.Communication.Port.RS232, 3.9.1.0
Tecan.At.Communication.Port.SIM.Common, 3.9.1.0
Tecan.At.Communication.Port.SIM.Common.resources, 3.9.1.0
Tecan.At.Communication.Port.USB, 3.9.1.0
Tecan.At.Communication.Server, 3.9.1.0
Tecan.At.Communication.SIM.AMR, 3.6.1.0
Tecan.At.Communication.SIM.AMR.resources, 3.6.1.0
Tecan.At.Communication.SIM.AMRPlus, 3.6.1.0
Tecan.At.Communication.SIM.AMRPlus.resources, 3.6.1.0
Tecan.At.Communication.SIM.Connect, 3.9.1.0
Tecan.At.Communication.SIM.GeniosUltra, 3.6.1.0
Tecan.At.Communication.SIM.GeniosUltra.resources, 3.6.1.0
Tecan.At.Communication.SIM.Safire3, 3.6.1.0
Tecan.At.Communication.SIM.Safire3.resources, 3.6.1.0
Tecan.At.Communication.SIM.Safire3Pro, 3.6.1.0
Tecan.At.Communication.SIM.Safire3Pro.resources, 3.6.1.0
Tecan.At.Communication.SIM.SunriseMini, 3.6.1.0
Tecan.At.Communication.SIM.SunriseMini.resources, 3.6.1.0
Tecan.At.Instrument.Common, 3.9.1.0
Tecan.At.Instrument.Common.GCM, 3.9.1.0
Tecan.At.Instrument.Common.Reader, 3.6.1.0
Tecan.At.Instrument.Common.resources, 3.9.1.0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Tecan.At.Instrument.Server.resources,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Tecan.At.XFluor.Connect.Reader.resources, 2.0.10.0
Tecan.At.XFluor.Core, 2.0.10.0
Tecan.At.XFluor.Core.resources, 2.0.10.0
Tecan.At.XFluor.Device, 2.0.10.0
Tecan.At.XFluor.Device.AMR, 2.0.10.0
Tecan.At.XFluor.Device.AMR.resources, 2.0.10.0
Tecan.At.XFluor.Device.AMRPlus, 2.0.10.0
Tecan.At.XFluor.Device.GeniosUltra, 2.0.10.0
Tecan.At.XFluor.Device.Reader, 2.0.10.0
Tecan.At.XFluor.Device.resources, 2.0.10.0
Tecan.At.XFluor.Device.Safire3, 2.0.10.0
Tecan.At.XFluor.Device.Safire3Pro, 2.0.10.0
Tecan.At.XFluor.Device.SunriseMini, 2.0.10.0
Tecan.At.XFluor.ExcelOutput, 2.0.10.0
Tecan.At.XFluor.ExcelOutput.resources, 2.0.10.0
Tecan.At.XFluor.NanoQuant, 2.0.10.0
Tecan.At.XFluor.NanoQuant.resources, 2.0.10.0
Tecan.At.XFluor.ReaderEditor, 2.0.10.0
Tecan.At.XFluor.ReaderEditor.resources, 2.0.10.0
Tecan.At.XFluor.resources,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Segoe UI"/>
            <charset val="1"/>
          </rPr>
          <t xml:space="preserve">EHC, V_2.02_11/06_InfiniTe (Dec 13 2006/16.18.16)
MTP, V_2.02_11/06_InfiniTe (Dec 13 2006/16.18.16)
FIL, V_2.00_04/06_FILTER (Apr  5 2006/11.37.11)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Jaeger, Emmi</author>
  </authors>
  <commentList>
    <comment ref="E1" authorId="0" shapeId="0" xr:uid="{00000000-0006-0000-0200-000001000000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Tecan.At.Common.UI.resources, 3.9.1.0
Tecan.At.Communication.Common, 3.9.1.0
Tecan.At.Communication.Port.IP, 3.9.1.0
Tecan.At.Communication.Port.RS232, 3.9.1.0
Tecan.At.Communication.Port.SIM.Common, 3.9.1.0
Tecan.At.Communication.Port.SIM.Common.resources, 3.9.1.0
Tecan.At.Communication.Port.USB, 3.9.1.0
Tecan.At.Communication.Server, 3.9.1.0
Tecan.At.Communication.SIM.AMR, 3.6.1.0
Tecan.At.Communication.SIM.AMR.resources, 3.6.1.0
Tecan.At.Communication.SIM.AMRPlus, 3.6.1.0
Tecan.At.Communication.SIM.AMRPlus.resources, 3.6.1.0
Tecan.At.Communication.SIM.Connect, 3.9.1.0
Tecan.At.Communication.SIM.GeniosUltra, 3.6.1.0
Tecan.At.Communication.SIM.GeniosUltra.resources, 3.6.1.0
Tecan.At.Communication.SIM.Safire3, 3.6.1.0
Tecan.At.Communication.SIM.Safire3.resources, 3.6.1.0
Tecan.At.Communication.SIM.Safire3Pro, 3.6.1.0
Tecan.At.Communication.SIM.Safire3Pro.resources, 3.6.1.0
Tecan.At.Communication.SIM.SunriseMini, 3.6.1.0
Tecan.At.Communication.SIM.SunriseMini.resources, 3.6.1.0
Tecan.At.Instrument.Common, 3.9.1.0
Tecan.At.Instrument.Common.GCM, 3.9.1.0
Tecan.At.Instrument.Common.Reader, 3.6.1.0
Tecan.At.Instrument.Common.resources, 3.9.1.0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Tecan.At.Instrument.Server.resources,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Tecan.At.XFluor.Connect.Reader.resources, 2.0.10.0
Tecan.At.XFluor.Core, 2.0.10.0
Tecan.At.XFluor.Core.resources, 2.0.10.0
Tecan.At.XFluor.Device, 2.0.10.0
Tecan.At.XFluor.Device.AMR, 2.0.10.0
Tecan.At.XFluor.Device.AMR.resources, 2.0.10.0
Tecan.At.XFluor.Device.AMRPlus, 2.0.10.0
Tecan.At.XFluor.Device.GeniosUltra, 2.0.10.0
Tecan.At.XFluor.Device.Reader, 2.0.10.0
Tecan.At.XFluor.Device.resources, 2.0.10.0
Tecan.At.XFluor.Device.Safire3, 2.0.10.0
Tecan.At.XFluor.Device.Safire3Pro, 2.0.10.0
Tecan.At.XFluor.Device.SunriseMini, 2.0.10.0
Tecan.At.XFluor.ExcelOutput, 2.0.10.0
Tecan.At.XFluor.ExcelOutput.resources, 2.0.10.0
Tecan.At.XFluor.NanoQuant, 2.0.10.0
Tecan.At.XFluor.NanoQuant.resources, 2.0.10.0
Tecan.At.XFluor.ReaderEditor, 2.0.10.0
Tecan.At.XFluor.ReaderEditor.resources, 2.0.10.0
Tecan.At.XFluor.resources, 2.0.10.0
</t>
        </r>
      </text>
    </comment>
    <comment ref="E3" authorId="0" shapeId="0" xr:uid="{00000000-0006-0000-0200-000002000000}">
      <text>
        <r>
          <rPr>
            <b/>
            <sz val="9"/>
            <color indexed="81"/>
            <rFont val="Segoe UI"/>
            <charset val="1"/>
          </rPr>
          <t xml:space="preserve">EHC, V_2.02_11/06_InfiniTe (Dec 13 2006/16.18.16)
MTP, V_2.02_11/06_InfiniTe (Dec 13 2006/16.18.16)
FIL, V_2.00_04/06_FILTER (Apr  5 2006/11.37.11)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Jaeger, Emmi</author>
  </authors>
  <commentList>
    <comment ref="E1" authorId="0" shapeId="0" xr:uid="{00000000-0006-0000-0300-000001000000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Tecan.At.Common.UI.resources, 3.9.1.0
Tecan.At.Communication.Common, 3.9.1.0
Tecan.At.Communication.Port.IP, 3.9.1.0
Tecan.At.Communication.Port.RS232, 3.9.1.0
Tecan.At.Communication.Port.SIM.Common, 3.9.1.0
Tecan.At.Communication.Port.SIM.Common.resources, 3.9.1.0
Tecan.At.Communication.Port.USB, 3.9.1.0
Tecan.At.Communication.Server, 3.9.1.0
Tecan.At.Communication.SIM.AMR, 3.6.1.0
Tecan.At.Communication.SIM.AMR.resources, 3.6.1.0
Tecan.At.Communication.SIM.AMRPlus, 3.6.1.0
Tecan.At.Communication.SIM.AMRPlus.resources, 3.6.1.0
Tecan.At.Communication.SIM.Connect, 3.9.1.0
Tecan.At.Communication.SIM.GeniosUltra, 3.6.1.0
Tecan.At.Communication.SIM.GeniosUltra.resources, 3.6.1.0
Tecan.At.Communication.SIM.Safire3, 3.6.1.0
Tecan.At.Communication.SIM.Safire3.resources, 3.6.1.0
Tecan.At.Communication.SIM.Safire3Pro, 3.6.1.0
Tecan.At.Communication.SIM.Safire3Pro.resources, 3.6.1.0
Tecan.At.Communication.SIM.SunriseMini, 3.6.1.0
Tecan.At.Communication.SIM.SunriseMini.resources, 3.6.1.0
Tecan.At.Instrument.Common, 3.9.1.0
Tecan.At.Instrument.Common.GCM, 3.9.1.0
Tecan.At.Instrument.Common.Reader, 3.6.1.0
Tecan.At.Instrument.Common.resources, 3.9.1.0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Tecan.At.Instrument.Server.resources,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Tecan.At.XFluor.Connect.Reader.resources, 2.0.10.0
Tecan.At.XFluor.Core, 2.0.10.0
Tecan.At.XFluor.Core.resources, 2.0.10.0
Tecan.At.XFluor.Device, 2.0.10.0
Tecan.At.XFluor.Device.AMR, 2.0.10.0
Tecan.At.XFluor.Device.AMR.resources, 2.0.10.0
Tecan.At.XFluor.Device.AMRPlus, 2.0.10.0
Tecan.At.XFluor.Device.GeniosUltra, 2.0.10.0
Tecan.At.XFluor.Device.Reader, 2.0.10.0
Tecan.At.XFluor.Device.resources, 2.0.10.0
Tecan.At.XFluor.Device.Safire3, 2.0.10.0
Tecan.At.XFluor.Device.Safire3Pro, 2.0.10.0
Tecan.At.XFluor.Device.SunriseMini, 2.0.10.0
Tecan.At.XFluor.ExcelOutput, 2.0.10.0
Tecan.At.XFluor.NanoQuant, 2.0.10.0
Tecan.At.XFluor.NanoQuant.resources, 2.0.10.0
Tecan.At.XFluor.ReaderEditor, 2.0.10.0
Tecan.At.XFluor.ReaderEditor.resources, 2.0.10.0
Tecan.At.XFluor.resources, 2.0.10.0
</t>
        </r>
      </text>
    </comment>
    <comment ref="E3" authorId="0" shapeId="0" xr:uid="{00000000-0006-0000-0300-000002000000}">
      <text>
        <r>
          <rPr>
            <b/>
            <sz val="9"/>
            <color indexed="81"/>
            <rFont val="Segoe UI"/>
            <charset val="1"/>
          </rPr>
          <t xml:space="preserve">EHC, V_2.02_11/06_InfiniTe (Dec 13 2006/16.18.16)
MTP, V_2.02_11/06_InfiniTe (Dec 13 2006/16.18.16)
FIL, V_2.00_04/06_FILTER (Apr  5 2006/11.37.11)
</t>
        </r>
      </text>
    </comment>
  </commentList>
</comments>
</file>

<file path=xl/sharedStrings.xml><?xml version="1.0" encoding="utf-8"?>
<sst xmlns="http://schemas.openxmlformats.org/spreadsheetml/2006/main" count="537" uniqueCount="95">
  <si>
    <t>Programm: Tecan i-control</t>
  </si>
  <si>
    <t>Tecan i-control , 2.0.10.0</t>
  </si>
  <si>
    <t>Gerät: infinite 200</t>
  </si>
  <si>
    <t>Seriennummer: 705000573</t>
  </si>
  <si>
    <t>Seriennummer des verbundenen Staplers:</t>
  </si>
  <si>
    <t>Firmware: V_2.02_11/06_InfiniTe (Dec 13 2006/16.18.16)</t>
  </si>
  <si>
    <t>MAI, V_2.02_11/06_InfiniTe (Dec 13 2006/16.18.16)</t>
  </si>
  <si>
    <t>Datum:</t>
  </si>
  <si>
    <t>05.11.2025</t>
  </si>
  <si>
    <t>Zeit:</t>
  </si>
  <si>
    <t>16:23:09</t>
  </si>
  <si>
    <t>System</t>
  </si>
  <si>
    <t>UKSPA-10866511</t>
  </si>
  <si>
    <t>Anwender</t>
  </si>
  <si>
    <t>UNI-KIEL\sunpa780</t>
  </si>
  <si>
    <t>Platte</t>
  </si>
  <si>
    <t>Greiner 96 Flat Bottom Black Polystyrene Cat. No.: 655079/655086/655077/655076   [GRE96fb_chimney.pdfx]</t>
  </si>
  <si>
    <t>Platten-ID (Stapler)</t>
  </si>
  <si>
    <t>Liste der Aktionen in diesem Mess-Script:</t>
  </si>
  <si>
    <t>Kinetik</t>
  </si>
  <si>
    <t>Fluoreszenz</t>
  </si>
  <si>
    <t>Label: Label1</t>
  </si>
  <si>
    <t>Kinetik - Messung</t>
  </si>
  <si>
    <t>Kinetik - Dauer</t>
  </si>
  <si>
    <t>Intervallzeit</t>
  </si>
  <si>
    <t>Modus</t>
  </si>
  <si>
    <t>Fluoreszenz Messung von oben</t>
  </si>
  <si>
    <t>Exzitationswellenlänge</t>
  </si>
  <si>
    <t>nm</t>
  </si>
  <si>
    <t>Emissionswellenlänge</t>
  </si>
  <si>
    <t>Exzitationsbandbreite</t>
  </si>
  <si>
    <t>Emissionsbandbreite</t>
  </si>
  <si>
    <t>Verstärkung</t>
  </si>
  <si>
    <t>Optimal (100%)</t>
  </si>
  <si>
    <t>Anzahl der Blitze</t>
  </si>
  <si>
    <t>Integrationszeit</t>
  </si>
  <si>
    <t>µs</t>
  </si>
  <si>
    <t>Verzögerungszeit</t>
  </si>
  <si>
    <t>Ruhezeit</t>
  </si>
  <si>
    <t>ms</t>
  </si>
  <si>
    <t>Bereich der Platte</t>
  </si>
  <si>
    <t>A1-A4</t>
  </si>
  <si>
    <t>Startzeit:</t>
  </si>
  <si>
    <t>05.11.2025 16:23:25</t>
  </si>
  <si>
    <t>Zyklus Nr.</t>
  </si>
  <si>
    <t>Zeit [s]</t>
  </si>
  <si>
    <t>Temp. [°C]</t>
  </si>
  <si>
    <t>A1</t>
  </si>
  <si>
    <t>A2</t>
  </si>
  <si>
    <t>A3</t>
  </si>
  <si>
    <t>A4</t>
  </si>
  <si>
    <t>Endzeit:</t>
  </si>
  <si>
    <t>--</t>
  </si>
  <si>
    <t>Warnung:</t>
  </si>
  <si>
    <t>Die vorgegebene Kinetik-Intervall Zeit konnte nicht eingehalten werden (Zyklus):</t>
  </si>
  <si>
    <t>2, 3, 4, 5, 6, 7, 8, 9, 10, 11, 12, 13, 14, 15, 16, 17, 18, 19, 20, 21, 22, 23, 24, 25, 26, 27, 28, 29</t>
  </si>
  <si>
    <t>30, 31, 32, 33, 34, 35, 36, 37, 38, 39, 40, 41, 42, 43, 44, 45, 46, 47, 48, 49, 50, 51, 52, 53, 54, 55</t>
  </si>
  <si>
    <t>56, 57, 58, 59, 60, 61, 62, 63, 64, 65, 66, 67, 68, 69, 70</t>
  </si>
  <si>
    <t>05.11.2025 16:27:26</t>
  </si>
  <si>
    <t>16:41:21</t>
  </si>
  <si>
    <t>B1-B4</t>
  </si>
  <si>
    <t>05.11.2025 16:41:36</t>
  </si>
  <si>
    <t>B1</t>
  </si>
  <si>
    <t>B2</t>
  </si>
  <si>
    <t>B3</t>
  </si>
  <si>
    <t>B4</t>
  </si>
  <si>
    <t>56, 57, 58, 59, 60, 61, 62, 63, 64, 65, 66, 67, 68</t>
  </si>
  <si>
    <t>05.11.2025 16:45:38</t>
  </si>
  <si>
    <t>Kontrolle 1 mM</t>
  </si>
  <si>
    <t>MCT1 1mM</t>
  </si>
  <si>
    <t>Kontrolle 10 mM</t>
  </si>
  <si>
    <t>MCT1 10 mM</t>
  </si>
  <si>
    <t>Legende</t>
  </si>
  <si>
    <t>16:58:13</t>
  </si>
  <si>
    <t>C1-C4</t>
  </si>
  <si>
    <t>05.11.2025 16:58:28</t>
  </si>
  <si>
    <t>C1</t>
  </si>
  <si>
    <t>C2</t>
  </si>
  <si>
    <t>C3</t>
  </si>
  <si>
    <t>C4</t>
  </si>
  <si>
    <t>56, 57, 58, 59, 60, 61, 62, 63, 64, 65, 66</t>
  </si>
  <si>
    <t>05.11.2025 17:02:31</t>
  </si>
  <si>
    <t>17:15:31</t>
  </si>
  <si>
    <t>D1-D4</t>
  </si>
  <si>
    <t>05.11.2025 17:15:46</t>
  </si>
  <si>
    <t>D1</t>
  </si>
  <si>
    <t>D2</t>
  </si>
  <si>
    <t>D3</t>
  </si>
  <si>
    <t>D4</t>
  </si>
  <si>
    <t>56, 57, 58, 59, 60, 61, 62, 63, 64</t>
  </si>
  <si>
    <t>05.11.2025 17:19:49</t>
  </si>
  <si>
    <r>
      <rPr>
        <sz val="11"/>
        <color theme="1"/>
        <rFont val="Aptos Narrow"/>
        <family val="2"/>
      </rPr>
      <t>∆F/F</t>
    </r>
    <r>
      <rPr>
        <vertAlign val="subscript"/>
        <sz val="11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 xml:space="preserve"> (1 mM)</t>
    </r>
  </si>
  <si>
    <r>
      <t>∆F/F</t>
    </r>
    <r>
      <rPr>
        <vertAlign val="subscript"/>
        <sz val="11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 xml:space="preserve"> (10 mM)</t>
    </r>
  </si>
  <si>
    <t>∆F/F0 (1 mM)</t>
  </si>
  <si>
    <t>∆F/F0 (10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</si>
</sst>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Segoe UI"/>
      <charset val="1"/>
    </font>
    <font>
      <b/>
      <sz val="9"/>
      <color indexed="81"/>
      <name val="Segoe UI"/>
      <family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</cellStyleXfs>
  <cellXfs count="8">
    <xf numFmtId="0" fontId="0" fillId="0" borderId="0" xfId="0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2" fillId="9" borderId="0" xfId="0" applyFont="1" applyFill="1"/>
    <xf numFmtId="0" fontId="0" fillId="3" borderId="0" xfId="0" applyFill="1"/>
    <xf numFmtId="0" fontId="1" fillId="0" borderId="0" xfId="0" applyFont="1"/>
    <xf numFmtId="0" fontId="6" fillId="0" borderId="0" xfId="0" applyFont="1"/>
  </cellXfs>
  <cellStyles count="8">
    <cellStyle name="Standard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2"/>
  <sheetViews>
    <sheetView topLeftCell="AZ38" workbookViewId="0">
      <selection activeCell="BE49" sqref="BE49"/>
    </sheetView>
  </sheetViews>
  <sheetFormatPr baseColWidth="10" defaultRowHeight="14.4" x14ac:dyDescent="0.3"/>
  <sheetData>
    <row r="1" spans="1:12" x14ac:dyDescent="0.3">
      <c r="A1" t="s">
        <v>0</v>
      </c>
      <c r="E1" t="s">
        <v>1</v>
      </c>
    </row>
    <row r="2" spans="1:12" x14ac:dyDescent="0.3">
      <c r="A2" t="s">
        <v>2</v>
      </c>
      <c r="E2" t="s">
        <v>3</v>
      </c>
      <c r="I2" t="s">
        <v>4</v>
      </c>
    </row>
    <row r="3" spans="1:12" x14ac:dyDescent="0.3">
      <c r="A3" t="s">
        <v>5</v>
      </c>
      <c r="E3" t="s">
        <v>6</v>
      </c>
    </row>
    <row r="5" spans="1:12" x14ac:dyDescent="0.3">
      <c r="A5" t="s">
        <v>7</v>
      </c>
      <c r="B5" t="s">
        <v>8</v>
      </c>
    </row>
    <row r="6" spans="1:12" x14ac:dyDescent="0.3">
      <c r="A6" t="s">
        <v>9</v>
      </c>
      <c r="B6" s="1" t="s">
        <v>73</v>
      </c>
    </row>
    <row r="9" spans="1:12" x14ac:dyDescent="0.3">
      <c r="A9" t="s">
        <v>11</v>
      </c>
      <c r="E9" t="s">
        <v>12</v>
      </c>
    </row>
    <row r="10" spans="1:12" x14ac:dyDescent="0.3">
      <c r="A10" t="s">
        <v>13</v>
      </c>
      <c r="E10" t="s">
        <v>14</v>
      </c>
    </row>
    <row r="11" spans="1:12" x14ac:dyDescent="0.3">
      <c r="A11" t="s">
        <v>15</v>
      </c>
      <c r="E11" t="s">
        <v>16</v>
      </c>
    </row>
    <row r="12" spans="1:12" x14ac:dyDescent="0.3">
      <c r="A12" t="s">
        <v>17</v>
      </c>
    </row>
    <row r="14" spans="1:12" x14ac:dyDescent="0.3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9" spans="1:6" x14ac:dyDescent="0.3">
      <c r="A19" t="s">
        <v>21</v>
      </c>
    </row>
    <row r="20" spans="1:6" x14ac:dyDescent="0.3">
      <c r="A20" t="s">
        <v>22</v>
      </c>
    </row>
    <row r="21" spans="1:6" x14ac:dyDescent="0.3">
      <c r="A21" t="s">
        <v>23</v>
      </c>
      <c r="E21" s="3">
        <v>2.7777777777777779E-3</v>
      </c>
    </row>
    <row r="22" spans="1:6" x14ac:dyDescent="0.3">
      <c r="A22" t="s">
        <v>24</v>
      </c>
      <c r="E22" s="3">
        <v>2.3148148148148147E-5</v>
      </c>
    </row>
    <row r="23" spans="1:6" x14ac:dyDescent="0.3">
      <c r="A23" t="s">
        <v>25</v>
      </c>
      <c r="E23" t="s">
        <v>26</v>
      </c>
    </row>
    <row r="24" spans="1:6" x14ac:dyDescent="0.3">
      <c r="A24" t="s">
        <v>27</v>
      </c>
      <c r="E24">
        <v>485</v>
      </c>
      <c r="F24" t="s">
        <v>28</v>
      </c>
    </row>
    <row r="25" spans="1:6" x14ac:dyDescent="0.3">
      <c r="A25" t="s">
        <v>29</v>
      </c>
      <c r="E25">
        <v>535</v>
      </c>
      <c r="F25" t="s">
        <v>28</v>
      </c>
    </row>
    <row r="26" spans="1:6" x14ac:dyDescent="0.3">
      <c r="A26" t="s">
        <v>30</v>
      </c>
      <c r="E26">
        <v>20</v>
      </c>
      <c r="F26" t="s">
        <v>28</v>
      </c>
    </row>
    <row r="27" spans="1:6" x14ac:dyDescent="0.3">
      <c r="A27" t="s">
        <v>31</v>
      </c>
      <c r="E27">
        <v>25</v>
      </c>
      <c r="F27" t="s">
        <v>28</v>
      </c>
    </row>
    <row r="28" spans="1:6" x14ac:dyDescent="0.3">
      <c r="A28" t="s">
        <v>32</v>
      </c>
      <c r="E28">
        <v>92</v>
      </c>
      <c r="F28" t="s">
        <v>33</v>
      </c>
    </row>
    <row r="29" spans="1:6" x14ac:dyDescent="0.3">
      <c r="A29" t="s">
        <v>34</v>
      </c>
      <c r="E29">
        <v>25</v>
      </c>
    </row>
    <row r="30" spans="1:6" x14ac:dyDescent="0.3">
      <c r="A30" t="s">
        <v>35</v>
      </c>
      <c r="E30">
        <v>20</v>
      </c>
      <c r="F30" t="s">
        <v>36</v>
      </c>
    </row>
    <row r="31" spans="1:6" x14ac:dyDescent="0.3">
      <c r="A31" t="s">
        <v>37</v>
      </c>
      <c r="E31">
        <v>0</v>
      </c>
      <c r="F31" t="s">
        <v>36</v>
      </c>
    </row>
    <row r="32" spans="1:6" x14ac:dyDescent="0.3">
      <c r="A32" t="s">
        <v>38</v>
      </c>
      <c r="E32">
        <v>0</v>
      </c>
      <c r="F32" t="s">
        <v>39</v>
      </c>
    </row>
    <row r="33" spans="1:67" x14ac:dyDescent="0.3">
      <c r="A33" t="s">
        <v>40</v>
      </c>
      <c r="E33" t="s">
        <v>74</v>
      </c>
    </row>
    <row r="34" spans="1:67" x14ac:dyDescent="0.3">
      <c r="A34" t="s">
        <v>42</v>
      </c>
      <c r="B34" s="1" t="s">
        <v>75</v>
      </c>
    </row>
    <row r="36" spans="1:67" x14ac:dyDescent="0.3">
      <c r="A36" s="5" t="s">
        <v>53</v>
      </c>
      <c r="B36" s="5" t="s">
        <v>54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67" x14ac:dyDescent="0.3">
      <c r="A37" s="5"/>
      <c r="B37" s="5" t="s">
        <v>55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67" x14ac:dyDescent="0.3">
      <c r="A38" s="5"/>
      <c r="B38" s="5" t="s">
        <v>56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67" x14ac:dyDescent="0.3">
      <c r="A39" s="5"/>
      <c r="B39" s="5" t="s">
        <v>80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1" spans="1:67" x14ac:dyDescent="0.3">
      <c r="A41" s="4" t="s">
        <v>44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</row>
    <row r="42" spans="1:67" x14ac:dyDescent="0.3">
      <c r="A42" s="4" t="s">
        <v>45</v>
      </c>
      <c r="B42">
        <v>0</v>
      </c>
      <c r="C42">
        <v>3.7</v>
      </c>
      <c r="D42">
        <v>7.4</v>
      </c>
      <c r="E42">
        <v>11</v>
      </c>
      <c r="F42">
        <v>14.7</v>
      </c>
      <c r="G42">
        <v>18.399999999999999</v>
      </c>
      <c r="H42">
        <v>22.1</v>
      </c>
      <c r="I42">
        <v>25.7</v>
      </c>
      <c r="J42">
        <v>29.4</v>
      </c>
      <c r="K42">
        <v>33.1</v>
      </c>
      <c r="L42">
        <v>36.799999999999997</v>
      </c>
      <c r="M42">
        <v>40.4</v>
      </c>
      <c r="N42">
        <v>44.1</v>
      </c>
      <c r="O42">
        <v>47.8</v>
      </c>
      <c r="P42">
        <v>51.5</v>
      </c>
      <c r="Q42">
        <v>55.1</v>
      </c>
      <c r="R42">
        <v>58.8</v>
      </c>
      <c r="S42">
        <v>62.5</v>
      </c>
      <c r="T42">
        <v>66.2</v>
      </c>
      <c r="U42">
        <v>69.900000000000006</v>
      </c>
      <c r="V42">
        <v>73.5</v>
      </c>
      <c r="W42">
        <v>77.2</v>
      </c>
      <c r="X42">
        <v>80.900000000000006</v>
      </c>
      <c r="Y42">
        <v>84.6</v>
      </c>
      <c r="Z42">
        <v>88.2</v>
      </c>
      <c r="AA42">
        <v>91.9</v>
      </c>
      <c r="AB42">
        <v>95.6</v>
      </c>
      <c r="AC42">
        <v>99.3</v>
      </c>
      <c r="AD42">
        <v>102.9</v>
      </c>
      <c r="AE42">
        <v>106.6</v>
      </c>
      <c r="AF42">
        <v>110.3</v>
      </c>
      <c r="AG42">
        <v>114</v>
      </c>
      <c r="AH42">
        <v>117.6</v>
      </c>
      <c r="AI42">
        <v>121.3</v>
      </c>
      <c r="AJ42">
        <v>125</v>
      </c>
      <c r="AK42">
        <v>128.69999999999999</v>
      </c>
      <c r="AL42">
        <v>132.30000000000001</v>
      </c>
      <c r="AM42">
        <v>136</v>
      </c>
      <c r="AN42">
        <v>139.69999999999999</v>
      </c>
      <c r="AO42">
        <v>143.4</v>
      </c>
      <c r="AP42">
        <v>147.1</v>
      </c>
      <c r="AQ42">
        <v>150.69999999999999</v>
      </c>
      <c r="AR42">
        <v>154.4</v>
      </c>
      <c r="AS42">
        <v>158.1</v>
      </c>
      <c r="AT42">
        <v>161.80000000000001</v>
      </c>
      <c r="AU42">
        <v>165.4</v>
      </c>
      <c r="AV42">
        <v>169.1</v>
      </c>
      <c r="AW42">
        <v>172.8</v>
      </c>
      <c r="AX42">
        <v>176.5</v>
      </c>
      <c r="AY42">
        <v>180.1</v>
      </c>
      <c r="AZ42">
        <v>183.8</v>
      </c>
      <c r="BA42">
        <v>187.5</v>
      </c>
      <c r="BB42">
        <v>191.2</v>
      </c>
      <c r="BC42">
        <v>194.8</v>
      </c>
      <c r="BD42">
        <v>198.5</v>
      </c>
      <c r="BE42">
        <v>202.2</v>
      </c>
      <c r="BF42">
        <v>205.9</v>
      </c>
      <c r="BG42">
        <v>209.5</v>
      </c>
      <c r="BH42">
        <v>213.2</v>
      </c>
      <c r="BI42">
        <v>216.9</v>
      </c>
      <c r="BJ42">
        <v>220.6</v>
      </c>
      <c r="BK42">
        <v>224.3</v>
      </c>
      <c r="BL42">
        <v>227.9</v>
      </c>
      <c r="BM42">
        <v>231.6</v>
      </c>
      <c r="BN42">
        <v>235.3</v>
      </c>
      <c r="BO42">
        <v>239</v>
      </c>
    </row>
    <row r="43" spans="1:67" x14ac:dyDescent="0.3">
      <c r="A43" s="4" t="s">
        <v>46</v>
      </c>
      <c r="B43" t="s">
        <v>52</v>
      </c>
      <c r="C43" t="s">
        <v>52</v>
      </c>
      <c r="D43" t="s">
        <v>52</v>
      </c>
      <c r="E43" t="s">
        <v>52</v>
      </c>
      <c r="F43" t="s">
        <v>52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52</v>
      </c>
      <c r="AW43" t="s">
        <v>52</v>
      </c>
      <c r="AX43" t="s">
        <v>52</v>
      </c>
      <c r="AY43" t="s">
        <v>52</v>
      </c>
      <c r="AZ43" t="s">
        <v>52</v>
      </c>
      <c r="BA43" t="s">
        <v>52</v>
      </c>
      <c r="BB43" t="s">
        <v>52</v>
      </c>
      <c r="BC43" t="s">
        <v>52</v>
      </c>
      <c r="BD43" t="s">
        <v>52</v>
      </c>
      <c r="BE43" t="s">
        <v>52</v>
      </c>
      <c r="BF43" t="s">
        <v>52</v>
      </c>
      <c r="BG43" t="s">
        <v>52</v>
      </c>
      <c r="BH43" t="s">
        <v>52</v>
      </c>
      <c r="BI43" t="s">
        <v>52</v>
      </c>
      <c r="BJ43" t="s">
        <v>52</v>
      </c>
      <c r="BK43" t="s">
        <v>52</v>
      </c>
      <c r="BL43" t="s">
        <v>52</v>
      </c>
      <c r="BM43" t="s">
        <v>52</v>
      </c>
      <c r="BN43" t="s">
        <v>52</v>
      </c>
      <c r="BO43" t="s">
        <v>52</v>
      </c>
    </row>
    <row r="44" spans="1:67" x14ac:dyDescent="0.3">
      <c r="A44" s="4" t="s">
        <v>76</v>
      </c>
      <c r="B44">
        <v>11965</v>
      </c>
      <c r="C44">
        <v>11661</v>
      </c>
      <c r="D44">
        <v>11786</v>
      </c>
      <c r="E44">
        <v>11816</v>
      </c>
      <c r="F44">
        <v>11537</v>
      </c>
      <c r="G44">
        <v>11683</v>
      </c>
      <c r="H44">
        <v>11734</v>
      </c>
      <c r="I44">
        <v>11599</v>
      </c>
      <c r="J44">
        <v>11742</v>
      </c>
      <c r="K44">
        <v>11689</v>
      </c>
      <c r="L44">
        <v>11781</v>
      </c>
      <c r="M44">
        <v>11741</v>
      </c>
      <c r="N44">
        <v>11701</v>
      </c>
      <c r="O44">
        <v>11772</v>
      </c>
      <c r="P44">
        <v>11720</v>
      </c>
      <c r="Q44">
        <v>11915</v>
      </c>
      <c r="R44">
        <v>11871</v>
      </c>
      <c r="S44">
        <v>12042</v>
      </c>
      <c r="T44">
        <v>12017</v>
      </c>
      <c r="U44">
        <v>12020</v>
      </c>
      <c r="V44">
        <v>12133</v>
      </c>
      <c r="W44">
        <v>12199</v>
      </c>
      <c r="X44">
        <v>12076</v>
      </c>
      <c r="Y44">
        <v>12133</v>
      </c>
      <c r="Z44">
        <v>12132</v>
      </c>
      <c r="AA44">
        <v>12168</v>
      </c>
      <c r="AB44">
        <v>12088</v>
      </c>
      <c r="AC44">
        <v>12101</v>
      </c>
      <c r="AD44">
        <v>12045</v>
      </c>
      <c r="AE44">
        <v>12041</v>
      </c>
      <c r="AF44">
        <v>12048</v>
      </c>
      <c r="AG44">
        <v>12116</v>
      </c>
      <c r="AH44">
        <v>12160</v>
      </c>
      <c r="AI44">
        <v>12014</v>
      </c>
      <c r="AJ44">
        <v>12139</v>
      </c>
      <c r="AK44">
        <v>12145</v>
      </c>
      <c r="AL44">
        <v>12174</v>
      </c>
      <c r="AM44">
        <v>12200</v>
      </c>
      <c r="AN44">
        <v>12175</v>
      </c>
      <c r="AO44">
        <v>12147</v>
      </c>
      <c r="AP44">
        <v>12111</v>
      </c>
      <c r="AQ44">
        <v>12046</v>
      </c>
      <c r="AR44">
        <v>11941</v>
      </c>
      <c r="AS44">
        <v>12014</v>
      </c>
      <c r="AT44">
        <v>11918</v>
      </c>
      <c r="AU44">
        <v>11927</v>
      </c>
      <c r="AV44">
        <v>12030</v>
      </c>
      <c r="AW44">
        <v>11998</v>
      </c>
      <c r="AX44">
        <v>11995</v>
      </c>
      <c r="AY44">
        <v>12105</v>
      </c>
      <c r="AZ44">
        <v>12142</v>
      </c>
      <c r="BA44">
        <v>12030</v>
      </c>
      <c r="BB44">
        <v>12009</v>
      </c>
      <c r="BC44">
        <v>11981</v>
      </c>
      <c r="BD44">
        <v>12047</v>
      </c>
      <c r="BE44">
        <v>11924</v>
      </c>
      <c r="BF44">
        <v>11889</v>
      </c>
      <c r="BG44">
        <v>11891</v>
      </c>
      <c r="BH44">
        <v>11807</v>
      </c>
      <c r="BI44">
        <v>11885</v>
      </c>
      <c r="BJ44">
        <v>11899</v>
      </c>
      <c r="BK44">
        <v>11873</v>
      </c>
      <c r="BL44">
        <v>11947</v>
      </c>
      <c r="BM44">
        <v>11817</v>
      </c>
      <c r="BN44">
        <v>11969</v>
      </c>
      <c r="BO44">
        <v>12102</v>
      </c>
    </row>
    <row r="45" spans="1:67" x14ac:dyDescent="0.3">
      <c r="A45" s="4" t="s">
        <v>77</v>
      </c>
      <c r="B45">
        <v>27693</v>
      </c>
      <c r="C45">
        <v>27293</v>
      </c>
      <c r="D45">
        <v>27486</v>
      </c>
      <c r="E45">
        <v>27378</v>
      </c>
      <c r="F45">
        <v>27163</v>
      </c>
      <c r="G45">
        <v>27203</v>
      </c>
      <c r="H45">
        <v>27144</v>
      </c>
      <c r="I45">
        <v>26903</v>
      </c>
      <c r="J45">
        <v>26733</v>
      </c>
      <c r="K45">
        <v>26637</v>
      </c>
      <c r="L45">
        <v>26549</v>
      </c>
      <c r="M45">
        <v>26667</v>
      </c>
      <c r="N45">
        <v>26184</v>
      </c>
      <c r="O45">
        <v>26187</v>
      </c>
      <c r="P45">
        <v>25957</v>
      </c>
      <c r="Q45">
        <v>25743</v>
      </c>
      <c r="R45">
        <v>25659</v>
      </c>
      <c r="S45">
        <v>25766</v>
      </c>
      <c r="T45">
        <v>25572</v>
      </c>
      <c r="U45">
        <v>25354</v>
      </c>
      <c r="V45">
        <v>25148</v>
      </c>
      <c r="W45">
        <v>25317</v>
      </c>
      <c r="X45">
        <v>25221</v>
      </c>
      <c r="Y45">
        <v>25164</v>
      </c>
      <c r="Z45">
        <v>25135</v>
      </c>
      <c r="AA45">
        <v>25129</v>
      </c>
      <c r="AB45">
        <v>24838</v>
      </c>
      <c r="AC45">
        <v>24814</v>
      </c>
      <c r="AD45">
        <v>24904</v>
      </c>
      <c r="AE45">
        <v>24507</v>
      </c>
      <c r="AF45">
        <v>24394</v>
      </c>
      <c r="AG45">
        <v>24334</v>
      </c>
      <c r="AH45">
        <v>24366</v>
      </c>
      <c r="AI45">
        <v>24335</v>
      </c>
      <c r="AJ45">
        <v>24342</v>
      </c>
      <c r="AK45">
        <v>24190</v>
      </c>
      <c r="AL45">
        <v>24139</v>
      </c>
      <c r="AM45">
        <v>24028</v>
      </c>
      <c r="AN45">
        <v>23926</v>
      </c>
      <c r="AO45">
        <v>23757</v>
      </c>
      <c r="AP45">
        <v>23598</v>
      </c>
      <c r="AQ45">
        <v>23421</v>
      </c>
      <c r="AR45">
        <v>23285</v>
      </c>
      <c r="AS45">
        <v>23147</v>
      </c>
      <c r="AT45">
        <v>23038</v>
      </c>
      <c r="AU45">
        <v>23047</v>
      </c>
      <c r="AV45">
        <v>23096</v>
      </c>
      <c r="AW45">
        <v>23140</v>
      </c>
      <c r="AX45">
        <v>23001</v>
      </c>
      <c r="AY45">
        <v>23017</v>
      </c>
      <c r="AZ45">
        <v>22885</v>
      </c>
      <c r="BA45">
        <v>22706</v>
      </c>
      <c r="BB45">
        <v>22446</v>
      </c>
      <c r="BC45">
        <v>22408</v>
      </c>
      <c r="BD45">
        <v>22218</v>
      </c>
      <c r="BE45">
        <v>22199</v>
      </c>
      <c r="BF45">
        <v>22252</v>
      </c>
      <c r="BG45">
        <v>22154</v>
      </c>
      <c r="BH45">
        <v>22108</v>
      </c>
      <c r="BI45">
        <v>21993</v>
      </c>
      <c r="BJ45">
        <v>21750</v>
      </c>
      <c r="BK45">
        <v>21663</v>
      </c>
      <c r="BL45">
        <v>21730</v>
      </c>
      <c r="BM45">
        <v>21572</v>
      </c>
      <c r="BN45">
        <v>21821</v>
      </c>
      <c r="BO45">
        <v>21889</v>
      </c>
    </row>
    <row r="46" spans="1:67" x14ac:dyDescent="0.3">
      <c r="A46" s="4" t="s">
        <v>78</v>
      </c>
      <c r="B46">
        <v>11053</v>
      </c>
      <c r="C46">
        <v>11035</v>
      </c>
      <c r="D46">
        <v>11085</v>
      </c>
      <c r="E46">
        <v>11215</v>
      </c>
      <c r="F46">
        <v>11060</v>
      </c>
      <c r="G46">
        <v>11173</v>
      </c>
      <c r="H46">
        <v>11208</v>
      </c>
      <c r="I46">
        <v>11081</v>
      </c>
      <c r="J46">
        <v>11078</v>
      </c>
      <c r="K46">
        <v>11114</v>
      </c>
      <c r="L46">
        <v>11133</v>
      </c>
      <c r="M46">
        <v>11151</v>
      </c>
      <c r="N46">
        <v>11063</v>
      </c>
      <c r="O46">
        <v>11138</v>
      </c>
      <c r="P46">
        <v>11128</v>
      </c>
      <c r="Q46">
        <v>11160</v>
      </c>
      <c r="R46">
        <v>11128</v>
      </c>
      <c r="S46">
        <v>11229</v>
      </c>
      <c r="T46">
        <v>11264</v>
      </c>
      <c r="U46">
        <v>11239</v>
      </c>
      <c r="V46">
        <v>11208</v>
      </c>
      <c r="W46">
        <v>11302</v>
      </c>
      <c r="X46">
        <v>11333</v>
      </c>
      <c r="Y46">
        <v>11311</v>
      </c>
      <c r="Z46">
        <v>11389</v>
      </c>
      <c r="AA46">
        <v>11400</v>
      </c>
      <c r="AB46">
        <v>11348</v>
      </c>
      <c r="AC46">
        <v>11353</v>
      </c>
      <c r="AD46">
        <v>11398</v>
      </c>
      <c r="AE46">
        <v>11360</v>
      </c>
      <c r="AF46">
        <v>11285</v>
      </c>
      <c r="AG46">
        <v>11325</v>
      </c>
      <c r="AH46">
        <v>11369</v>
      </c>
      <c r="AI46">
        <v>11387</v>
      </c>
      <c r="AJ46">
        <v>11425</v>
      </c>
      <c r="AK46">
        <v>11405</v>
      </c>
      <c r="AL46">
        <v>11370</v>
      </c>
      <c r="AM46">
        <v>11422</v>
      </c>
      <c r="AN46">
        <v>11494</v>
      </c>
      <c r="AO46">
        <v>11486</v>
      </c>
      <c r="AP46">
        <v>11473</v>
      </c>
      <c r="AQ46">
        <v>11314</v>
      </c>
      <c r="AR46">
        <v>11314</v>
      </c>
      <c r="AS46">
        <v>11372</v>
      </c>
      <c r="AT46">
        <v>11339</v>
      </c>
      <c r="AU46">
        <v>11273</v>
      </c>
      <c r="AV46">
        <v>11387</v>
      </c>
      <c r="AW46">
        <v>11359</v>
      </c>
      <c r="AX46">
        <v>11367</v>
      </c>
      <c r="AY46">
        <v>11431</v>
      </c>
      <c r="AZ46">
        <v>11537</v>
      </c>
      <c r="BA46">
        <v>11447</v>
      </c>
      <c r="BB46">
        <v>11330</v>
      </c>
      <c r="BC46">
        <v>11377</v>
      </c>
      <c r="BD46">
        <v>11347</v>
      </c>
      <c r="BE46">
        <v>11365</v>
      </c>
      <c r="BF46">
        <v>11359</v>
      </c>
      <c r="BG46">
        <v>11380</v>
      </c>
      <c r="BH46">
        <v>11352</v>
      </c>
      <c r="BI46">
        <v>11312</v>
      </c>
      <c r="BJ46">
        <v>11184</v>
      </c>
      <c r="BK46">
        <v>11158</v>
      </c>
      <c r="BL46">
        <v>11202</v>
      </c>
      <c r="BM46">
        <v>11241</v>
      </c>
      <c r="BN46">
        <v>11346</v>
      </c>
      <c r="BO46">
        <v>11409</v>
      </c>
    </row>
    <row r="47" spans="1:67" x14ac:dyDescent="0.3">
      <c r="A47" s="4" t="s">
        <v>79</v>
      </c>
      <c r="B47">
        <v>42924</v>
      </c>
      <c r="C47">
        <v>42682</v>
      </c>
      <c r="D47">
        <v>42664</v>
      </c>
      <c r="E47">
        <v>42714</v>
      </c>
      <c r="F47">
        <v>42396</v>
      </c>
      <c r="G47">
        <v>42412</v>
      </c>
      <c r="H47">
        <v>42263</v>
      </c>
      <c r="I47">
        <v>41654</v>
      </c>
      <c r="J47">
        <v>41226</v>
      </c>
      <c r="K47">
        <v>41142</v>
      </c>
      <c r="L47">
        <v>40489</v>
      </c>
      <c r="M47">
        <v>40062</v>
      </c>
      <c r="N47">
        <v>39884</v>
      </c>
      <c r="O47">
        <v>39626</v>
      </c>
      <c r="P47">
        <v>39065</v>
      </c>
      <c r="Q47">
        <v>39524</v>
      </c>
      <c r="R47">
        <v>39421</v>
      </c>
      <c r="S47">
        <v>39253</v>
      </c>
      <c r="T47">
        <v>39213</v>
      </c>
      <c r="U47">
        <v>38706</v>
      </c>
      <c r="V47">
        <v>38834</v>
      </c>
      <c r="W47">
        <v>39513</v>
      </c>
      <c r="X47">
        <v>38672</v>
      </c>
      <c r="Y47">
        <v>39008</v>
      </c>
      <c r="Z47">
        <v>38844</v>
      </c>
      <c r="AA47">
        <v>39130</v>
      </c>
      <c r="AB47">
        <v>38933</v>
      </c>
      <c r="AC47">
        <v>38721</v>
      </c>
      <c r="AD47">
        <v>39312</v>
      </c>
      <c r="AE47">
        <v>39295</v>
      </c>
      <c r="AF47">
        <v>39201</v>
      </c>
      <c r="AG47">
        <v>39334</v>
      </c>
      <c r="AH47">
        <v>39446</v>
      </c>
      <c r="AI47">
        <v>39335</v>
      </c>
      <c r="AJ47">
        <v>39623</v>
      </c>
      <c r="AK47">
        <v>39585</v>
      </c>
      <c r="AL47">
        <v>39376</v>
      </c>
      <c r="AM47">
        <v>39216</v>
      </c>
      <c r="AN47">
        <v>39365</v>
      </c>
      <c r="AO47">
        <v>39094</v>
      </c>
      <c r="AP47">
        <v>39047</v>
      </c>
      <c r="AQ47">
        <v>39074</v>
      </c>
      <c r="AR47">
        <v>38827</v>
      </c>
      <c r="AS47">
        <v>38915</v>
      </c>
      <c r="AT47">
        <v>38665</v>
      </c>
      <c r="AU47">
        <v>38609</v>
      </c>
      <c r="AV47">
        <v>38635</v>
      </c>
      <c r="AW47">
        <v>38256</v>
      </c>
      <c r="AX47">
        <v>38180</v>
      </c>
      <c r="AY47">
        <v>38162</v>
      </c>
      <c r="AZ47">
        <v>37743</v>
      </c>
      <c r="BA47">
        <v>37899</v>
      </c>
      <c r="BB47">
        <v>37530</v>
      </c>
      <c r="BC47">
        <v>37494</v>
      </c>
      <c r="BD47">
        <v>37434</v>
      </c>
      <c r="BE47">
        <v>37294</v>
      </c>
      <c r="BF47">
        <v>37163</v>
      </c>
      <c r="BG47">
        <v>37147</v>
      </c>
      <c r="BH47">
        <v>36812</v>
      </c>
      <c r="BI47">
        <v>36906</v>
      </c>
      <c r="BJ47">
        <v>36908</v>
      </c>
      <c r="BK47">
        <v>36827</v>
      </c>
      <c r="BL47">
        <v>36811</v>
      </c>
      <c r="BM47">
        <v>36374</v>
      </c>
      <c r="BN47">
        <v>36404</v>
      </c>
      <c r="BO47">
        <v>36645</v>
      </c>
    </row>
    <row r="48" spans="1:67" x14ac:dyDescent="0.3">
      <c r="B48">
        <v>0</v>
      </c>
      <c r="C48">
        <v>3.7</v>
      </c>
      <c r="D48">
        <v>7.4</v>
      </c>
      <c r="E48">
        <v>11</v>
      </c>
      <c r="F48">
        <v>14.7</v>
      </c>
      <c r="G48">
        <v>18.399999999999999</v>
      </c>
      <c r="H48">
        <v>22.1</v>
      </c>
      <c r="I48">
        <v>25.7</v>
      </c>
      <c r="J48">
        <v>29.4</v>
      </c>
      <c r="K48">
        <v>33.1</v>
      </c>
      <c r="L48">
        <v>36.799999999999997</v>
      </c>
      <c r="M48">
        <v>40.4</v>
      </c>
      <c r="N48">
        <v>44.1</v>
      </c>
      <c r="O48">
        <v>47.8</v>
      </c>
      <c r="P48">
        <v>51.5</v>
      </c>
      <c r="Q48">
        <v>55.1</v>
      </c>
      <c r="R48">
        <v>58.8</v>
      </c>
      <c r="S48">
        <v>62.5</v>
      </c>
      <c r="T48">
        <v>66.2</v>
      </c>
      <c r="U48">
        <v>69.900000000000006</v>
      </c>
      <c r="V48">
        <v>73.5</v>
      </c>
      <c r="W48">
        <v>77.2</v>
      </c>
      <c r="X48">
        <v>80.900000000000006</v>
      </c>
      <c r="Y48">
        <v>84.6</v>
      </c>
      <c r="Z48">
        <v>88.2</v>
      </c>
      <c r="AA48">
        <v>91.9</v>
      </c>
      <c r="AB48">
        <v>95.6</v>
      </c>
      <c r="AC48">
        <v>99.3</v>
      </c>
      <c r="AD48">
        <v>102.9</v>
      </c>
      <c r="AE48">
        <v>106.6</v>
      </c>
      <c r="AF48">
        <v>110.3</v>
      </c>
      <c r="AG48">
        <v>114</v>
      </c>
      <c r="AH48">
        <v>117.6</v>
      </c>
      <c r="AI48">
        <v>121.3</v>
      </c>
      <c r="AJ48">
        <v>125</v>
      </c>
      <c r="AK48">
        <v>128.69999999999999</v>
      </c>
      <c r="AL48">
        <v>132.30000000000001</v>
      </c>
      <c r="AM48">
        <v>136</v>
      </c>
      <c r="AN48">
        <v>139.69999999999999</v>
      </c>
      <c r="AO48">
        <v>143.4</v>
      </c>
      <c r="AP48">
        <v>147.1</v>
      </c>
      <c r="AQ48">
        <v>150.69999999999999</v>
      </c>
      <c r="AR48">
        <v>154.4</v>
      </c>
      <c r="AS48">
        <v>158.1</v>
      </c>
      <c r="AT48">
        <v>161.80000000000001</v>
      </c>
      <c r="AU48">
        <v>165.4</v>
      </c>
      <c r="AV48">
        <v>169.1</v>
      </c>
      <c r="AW48">
        <v>172.8</v>
      </c>
      <c r="AX48">
        <v>176.5</v>
      </c>
      <c r="AY48">
        <v>180.1</v>
      </c>
      <c r="AZ48">
        <v>183.8</v>
      </c>
      <c r="BA48">
        <v>187.5</v>
      </c>
      <c r="BB48">
        <v>191.2</v>
      </c>
      <c r="BC48">
        <v>194.8</v>
      </c>
      <c r="BD48">
        <v>198.5</v>
      </c>
      <c r="BE48">
        <v>202.2</v>
      </c>
      <c r="BF48">
        <v>205.9</v>
      </c>
      <c r="BG48">
        <v>209.5</v>
      </c>
      <c r="BH48">
        <v>213.2</v>
      </c>
      <c r="BI48">
        <v>216.9</v>
      </c>
      <c r="BJ48">
        <v>220.6</v>
      </c>
      <c r="BK48">
        <v>224.3</v>
      </c>
      <c r="BL48">
        <v>227.9</v>
      </c>
      <c r="BM48">
        <v>231.6</v>
      </c>
      <c r="BN48">
        <v>235.3</v>
      </c>
      <c r="BO48">
        <v>239</v>
      </c>
    </row>
    <row r="49" spans="1:67" ht="15.6" x14ac:dyDescent="0.35">
      <c r="A49" s="7" t="s">
        <v>91</v>
      </c>
      <c r="B49">
        <f>(B45-B44)/B44</f>
        <v>1.3145006268282491</v>
      </c>
      <c r="C49">
        <f t="shared" ref="C49:BN49" si="0">(C45-C44)/C44</f>
        <v>1.3405368321756281</v>
      </c>
      <c r="D49">
        <f t="shared" si="0"/>
        <v>1.3320889190565077</v>
      </c>
      <c r="E49">
        <f t="shared" si="0"/>
        <v>1.317027758970887</v>
      </c>
      <c r="F49">
        <f t="shared" si="0"/>
        <v>1.354424893819884</v>
      </c>
      <c r="G49">
        <f t="shared" si="0"/>
        <v>1.3284259180005136</v>
      </c>
      <c r="H49">
        <f t="shared" si="0"/>
        <v>1.3132776546787115</v>
      </c>
      <c r="I49">
        <f t="shared" si="0"/>
        <v>1.3194240882834727</v>
      </c>
      <c r="J49">
        <f t="shared" si="0"/>
        <v>1.2766990291262137</v>
      </c>
      <c r="K49">
        <f t="shared" si="0"/>
        <v>1.2788091367952776</v>
      </c>
      <c r="L49">
        <f t="shared" si="0"/>
        <v>1.2535438417791358</v>
      </c>
      <c r="M49">
        <f t="shared" si="0"/>
        <v>1.2712716122987819</v>
      </c>
      <c r="N49">
        <f t="shared" si="0"/>
        <v>1.2377574566276386</v>
      </c>
      <c r="O49">
        <f t="shared" si="0"/>
        <v>1.2245158002038736</v>
      </c>
      <c r="P49">
        <f t="shared" si="0"/>
        <v>1.2147610921501706</v>
      </c>
      <c r="Q49">
        <f t="shared" si="0"/>
        <v>1.1605539236256819</v>
      </c>
      <c r="R49">
        <f t="shared" si="0"/>
        <v>1.1614859742228962</v>
      </c>
      <c r="S49">
        <f t="shared" si="0"/>
        <v>1.1396777943863146</v>
      </c>
      <c r="T49">
        <f t="shared" si="0"/>
        <v>1.1279853540817175</v>
      </c>
      <c r="U49">
        <f t="shared" si="0"/>
        <v>1.1093178036605658</v>
      </c>
      <c r="V49">
        <f t="shared" si="0"/>
        <v>1.0726943047885931</v>
      </c>
      <c r="W49">
        <f t="shared" si="0"/>
        <v>1.0753340437740799</v>
      </c>
      <c r="X49">
        <f t="shared" si="0"/>
        <v>1.0885226896323286</v>
      </c>
      <c r="Y49">
        <f t="shared" si="0"/>
        <v>1.0740130223357784</v>
      </c>
      <c r="Z49">
        <f t="shared" si="0"/>
        <v>1.0717936036927136</v>
      </c>
      <c r="AA49">
        <f t="shared" si="0"/>
        <v>1.0651709401709402</v>
      </c>
      <c r="AB49">
        <f t="shared" si="0"/>
        <v>1.0547650562541364</v>
      </c>
      <c r="AC49">
        <f t="shared" si="0"/>
        <v>1.050574332699777</v>
      </c>
      <c r="AD49">
        <f t="shared" si="0"/>
        <v>1.0675799086757991</v>
      </c>
      <c r="AE49">
        <f t="shared" si="0"/>
        <v>1.0352960717548376</v>
      </c>
      <c r="AF49">
        <f t="shared" si="0"/>
        <v>1.0247343957503321</v>
      </c>
      <c r="AG49">
        <f t="shared" si="0"/>
        <v>1.0084186200066028</v>
      </c>
      <c r="AH49">
        <f t="shared" si="0"/>
        <v>1.0037828947368421</v>
      </c>
      <c r="AI49">
        <f t="shared" si="0"/>
        <v>1.0255535208922923</v>
      </c>
      <c r="AJ49">
        <f t="shared" si="0"/>
        <v>1.0052722629541149</v>
      </c>
      <c r="AK49">
        <f t="shared" si="0"/>
        <v>0.99176615891313302</v>
      </c>
      <c r="AL49">
        <f t="shared" si="0"/>
        <v>0.98283226548381797</v>
      </c>
      <c r="AM49">
        <f t="shared" si="0"/>
        <v>0.9695081967213115</v>
      </c>
      <c r="AN49">
        <f t="shared" si="0"/>
        <v>0.96517453798767971</v>
      </c>
      <c r="AO49">
        <f t="shared" si="0"/>
        <v>0.95579155346999256</v>
      </c>
      <c r="AP49">
        <f t="shared" si="0"/>
        <v>0.94847659152836261</v>
      </c>
      <c r="AQ49">
        <f t="shared" si="0"/>
        <v>0.94429686202888929</v>
      </c>
      <c r="AR49">
        <f t="shared" si="0"/>
        <v>0.95000418725399882</v>
      </c>
      <c r="AS49">
        <f t="shared" si="0"/>
        <v>0.92666888629931743</v>
      </c>
      <c r="AT49">
        <f t="shared" si="0"/>
        <v>0.93304245678805164</v>
      </c>
      <c r="AU49">
        <f t="shared" si="0"/>
        <v>0.93233839188396073</v>
      </c>
      <c r="AV49">
        <f t="shared" si="0"/>
        <v>0.91986699916874481</v>
      </c>
      <c r="AW49">
        <f t="shared" si="0"/>
        <v>0.928654775795966</v>
      </c>
      <c r="AX49">
        <f t="shared" si="0"/>
        <v>0.91754897874114216</v>
      </c>
      <c r="AY49">
        <f t="shared" si="0"/>
        <v>0.90144568360181743</v>
      </c>
      <c r="AZ49">
        <f t="shared" si="0"/>
        <v>0.88478010212485592</v>
      </c>
      <c r="BA49">
        <f t="shared" si="0"/>
        <v>0.88744804655029097</v>
      </c>
      <c r="BB49">
        <f t="shared" si="0"/>
        <v>0.86909817636772424</v>
      </c>
      <c r="BC49">
        <f t="shared" si="0"/>
        <v>0.87029463316918454</v>
      </c>
      <c r="BD49">
        <f t="shared" si="0"/>
        <v>0.84427658338175482</v>
      </c>
      <c r="BE49">
        <f t="shared" si="0"/>
        <v>0.86170748071117076</v>
      </c>
      <c r="BF49">
        <f t="shared" si="0"/>
        <v>0.87164605938262263</v>
      </c>
      <c r="BG49">
        <f t="shared" si="0"/>
        <v>0.86308973172987979</v>
      </c>
      <c r="BH49">
        <f t="shared" si="0"/>
        <v>0.87244854747183875</v>
      </c>
      <c r="BI49">
        <f t="shared" si="0"/>
        <v>0.85048380311316785</v>
      </c>
      <c r="BJ49">
        <f t="shared" si="0"/>
        <v>0.82788469619295735</v>
      </c>
      <c r="BK49">
        <f t="shared" si="0"/>
        <v>0.82455992588225391</v>
      </c>
      <c r="BL49">
        <f t="shared" si="0"/>
        <v>0.81886666108646522</v>
      </c>
      <c r="BM49">
        <f t="shared" si="0"/>
        <v>0.82550562748582546</v>
      </c>
      <c r="BN49">
        <f t="shared" si="0"/>
        <v>0.82312640989222152</v>
      </c>
      <c r="BO49">
        <f t="shared" ref="BO49" si="1">(BO45-BO44)/BO44</f>
        <v>0.80870930424723186</v>
      </c>
    </row>
    <row r="50" spans="1:67" ht="15.6" x14ac:dyDescent="0.35">
      <c r="A50" s="7" t="s">
        <v>92</v>
      </c>
      <c r="B50">
        <f>(B47-B46)/B46</f>
        <v>2.8834705509816341</v>
      </c>
      <c r="C50">
        <f t="shared" ref="C50:BN50" si="2">(C47-C46)/C46</f>
        <v>2.8678749433620299</v>
      </c>
      <c r="D50">
        <f t="shared" si="2"/>
        <v>2.848804691023906</v>
      </c>
      <c r="E50">
        <f t="shared" si="2"/>
        <v>2.8086491306286225</v>
      </c>
      <c r="F50">
        <f t="shared" si="2"/>
        <v>2.8332730560578661</v>
      </c>
      <c r="G50">
        <f t="shared" si="2"/>
        <v>2.7959366329544437</v>
      </c>
      <c r="H50">
        <f t="shared" si="2"/>
        <v>2.7707887223411847</v>
      </c>
      <c r="I50">
        <f t="shared" si="2"/>
        <v>2.7590470174172008</v>
      </c>
      <c r="J50">
        <f t="shared" si="2"/>
        <v>2.7214298609857375</v>
      </c>
      <c r="K50">
        <f t="shared" si="2"/>
        <v>2.7018175274428651</v>
      </c>
      <c r="L50">
        <f t="shared" si="2"/>
        <v>2.6368454145333691</v>
      </c>
      <c r="M50">
        <f t="shared" si="2"/>
        <v>2.5926822706483725</v>
      </c>
      <c r="N50">
        <f t="shared" si="2"/>
        <v>2.6051703877790833</v>
      </c>
      <c r="O50">
        <f t="shared" si="2"/>
        <v>2.5577302926916863</v>
      </c>
      <c r="P50">
        <f t="shared" si="2"/>
        <v>2.5105140186915889</v>
      </c>
      <c r="Q50">
        <f t="shared" si="2"/>
        <v>2.5415770609318997</v>
      </c>
      <c r="R50">
        <f t="shared" si="2"/>
        <v>2.5425053918044571</v>
      </c>
      <c r="S50">
        <f t="shared" si="2"/>
        <v>2.4956808264315611</v>
      </c>
      <c r="T50">
        <f t="shared" si="2"/>
        <v>2.4812677556818183</v>
      </c>
      <c r="U50">
        <f t="shared" si="2"/>
        <v>2.4439007029095117</v>
      </c>
      <c r="V50">
        <f t="shared" si="2"/>
        <v>2.4648465381870093</v>
      </c>
      <c r="W50">
        <f t="shared" si="2"/>
        <v>2.4961068837373914</v>
      </c>
      <c r="X50">
        <f t="shared" si="2"/>
        <v>2.4123356569310861</v>
      </c>
      <c r="Y50">
        <f t="shared" si="2"/>
        <v>2.4486782777826894</v>
      </c>
      <c r="Z50">
        <f t="shared" si="2"/>
        <v>2.4106594082008956</v>
      </c>
      <c r="AA50">
        <f t="shared" si="2"/>
        <v>2.4324561403508773</v>
      </c>
      <c r="AB50">
        <f t="shared" si="2"/>
        <v>2.4308248149453648</v>
      </c>
      <c r="AC50">
        <f t="shared" si="2"/>
        <v>2.4106403593763761</v>
      </c>
      <c r="AD50">
        <f t="shared" si="2"/>
        <v>2.4490261449377084</v>
      </c>
      <c r="AE50">
        <f t="shared" si="2"/>
        <v>2.4590669014084505</v>
      </c>
      <c r="AF50">
        <f t="shared" si="2"/>
        <v>2.473726185201595</v>
      </c>
      <c r="AG50">
        <f t="shared" si="2"/>
        <v>2.4732008830022076</v>
      </c>
      <c r="AH50">
        <f t="shared" si="2"/>
        <v>2.4696103439176706</v>
      </c>
      <c r="AI50">
        <f t="shared" si="2"/>
        <v>2.4543777992447526</v>
      </c>
      <c r="AJ50">
        <f t="shared" si="2"/>
        <v>2.4680962800875275</v>
      </c>
      <c r="AK50">
        <f t="shared" si="2"/>
        <v>2.4708461201227534</v>
      </c>
      <c r="AL50">
        <f t="shared" si="2"/>
        <v>2.4631486367634126</v>
      </c>
      <c r="AM50">
        <f t="shared" si="2"/>
        <v>2.4333741901593418</v>
      </c>
      <c r="AN50">
        <f t="shared" si="2"/>
        <v>2.4248303462676177</v>
      </c>
      <c r="AO50">
        <f t="shared" si="2"/>
        <v>2.4036218004527252</v>
      </c>
      <c r="AP50">
        <f t="shared" si="2"/>
        <v>2.4033818530462825</v>
      </c>
      <c r="AQ50">
        <f t="shared" si="2"/>
        <v>2.4535973130634612</v>
      </c>
      <c r="AR50">
        <f t="shared" si="2"/>
        <v>2.4317659536856993</v>
      </c>
      <c r="AS50">
        <f t="shared" si="2"/>
        <v>2.422001406964474</v>
      </c>
      <c r="AT50">
        <f t="shared" si="2"/>
        <v>2.4099126907134667</v>
      </c>
      <c r="AU50">
        <f t="shared" si="2"/>
        <v>2.4249090747804489</v>
      </c>
      <c r="AV50">
        <f t="shared" si="2"/>
        <v>2.3929041889874418</v>
      </c>
      <c r="AW50">
        <f t="shared" si="2"/>
        <v>2.367902104058456</v>
      </c>
      <c r="AX50">
        <f t="shared" si="2"/>
        <v>2.3588457816486321</v>
      </c>
      <c r="AY50">
        <f t="shared" si="2"/>
        <v>2.3384655760650861</v>
      </c>
      <c r="AZ50">
        <f t="shared" si="2"/>
        <v>2.2714743867556555</v>
      </c>
      <c r="BA50">
        <f t="shared" si="2"/>
        <v>2.3108237966279375</v>
      </c>
      <c r="BB50">
        <f t="shared" si="2"/>
        <v>2.3124448367166814</v>
      </c>
      <c r="BC50">
        <f t="shared" si="2"/>
        <v>2.2955963786586975</v>
      </c>
      <c r="BD50">
        <f t="shared" si="2"/>
        <v>2.299021767868159</v>
      </c>
      <c r="BE50">
        <f t="shared" si="2"/>
        <v>2.2814782226132864</v>
      </c>
      <c r="BF50">
        <f t="shared" si="2"/>
        <v>2.2716788449687471</v>
      </c>
      <c r="BG50">
        <f t="shared" si="2"/>
        <v>2.2642355008787347</v>
      </c>
      <c r="BH50">
        <f t="shared" si="2"/>
        <v>2.2427766032417193</v>
      </c>
      <c r="BI50">
        <f t="shared" si="2"/>
        <v>2.2625530410183874</v>
      </c>
      <c r="BJ50">
        <f t="shared" si="2"/>
        <v>2.3000715307582262</v>
      </c>
      <c r="BK50">
        <f t="shared" si="2"/>
        <v>2.3005018820577163</v>
      </c>
      <c r="BL50">
        <f t="shared" si="2"/>
        <v>2.2861096232815568</v>
      </c>
      <c r="BM50">
        <f t="shared" si="2"/>
        <v>2.235833110933191</v>
      </c>
      <c r="BN50">
        <f t="shared" si="2"/>
        <v>2.208531641106998</v>
      </c>
      <c r="BO50">
        <f t="shared" ref="BO50" si="3">(BO47-BO46)/BO46</f>
        <v>2.2119379437286355</v>
      </c>
    </row>
    <row r="52" spans="1:67" x14ac:dyDescent="0.3">
      <c r="A52" t="s">
        <v>51</v>
      </c>
      <c r="B52" s="1" t="s">
        <v>81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2"/>
  <sheetViews>
    <sheetView topLeftCell="BB36" workbookViewId="0">
      <selection activeCell="A48" sqref="A48:BQ50"/>
    </sheetView>
  </sheetViews>
  <sheetFormatPr baseColWidth="10" defaultRowHeight="14.4" x14ac:dyDescent="0.3"/>
  <sheetData>
    <row r="1" spans="1:12" x14ac:dyDescent="0.3">
      <c r="A1" t="s">
        <v>0</v>
      </c>
      <c r="E1" t="s">
        <v>1</v>
      </c>
    </row>
    <row r="2" spans="1:12" x14ac:dyDescent="0.3">
      <c r="A2" t="s">
        <v>2</v>
      </c>
      <c r="E2" t="s">
        <v>3</v>
      </c>
      <c r="I2" t="s">
        <v>4</v>
      </c>
    </row>
    <row r="3" spans="1:12" x14ac:dyDescent="0.3">
      <c r="A3" t="s">
        <v>5</v>
      </c>
      <c r="E3" t="s">
        <v>6</v>
      </c>
    </row>
    <row r="5" spans="1:12" x14ac:dyDescent="0.3">
      <c r="A5" t="s">
        <v>7</v>
      </c>
      <c r="B5" t="s">
        <v>8</v>
      </c>
    </row>
    <row r="6" spans="1:12" x14ac:dyDescent="0.3">
      <c r="A6" t="s">
        <v>9</v>
      </c>
      <c r="B6" s="1" t="s">
        <v>59</v>
      </c>
    </row>
    <row r="9" spans="1:12" x14ac:dyDescent="0.3">
      <c r="A9" t="s">
        <v>11</v>
      </c>
      <c r="E9" t="s">
        <v>12</v>
      </c>
    </row>
    <row r="10" spans="1:12" x14ac:dyDescent="0.3">
      <c r="A10" t="s">
        <v>13</v>
      </c>
      <c r="E10" t="s">
        <v>14</v>
      </c>
    </row>
    <row r="11" spans="1:12" x14ac:dyDescent="0.3">
      <c r="A11" t="s">
        <v>15</v>
      </c>
      <c r="E11" t="s">
        <v>16</v>
      </c>
    </row>
    <row r="12" spans="1:12" x14ac:dyDescent="0.3">
      <c r="A12" t="s">
        <v>17</v>
      </c>
    </row>
    <row r="14" spans="1:12" x14ac:dyDescent="0.3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9" spans="1:6" x14ac:dyDescent="0.3">
      <c r="A19" t="s">
        <v>21</v>
      </c>
    </row>
    <row r="20" spans="1:6" x14ac:dyDescent="0.3">
      <c r="A20" t="s">
        <v>22</v>
      </c>
    </row>
    <row r="21" spans="1:6" x14ac:dyDescent="0.3">
      <c r="A21" t="s">
        <v>23</v>
      </c>
      <c r="E21" s="3">
        <v>2.7777777777777779E-3</v>
      </c>
    </row>
    <row r="22" spans="1:6" x14ac:dyDescent="0.3">
      <c r="A22" t="s">
        <v>24</v>
      </c>
      <c r="E22" s="3">
        <v>2.3148148148148147E-5</v>
      </c>
    </row>
    <row r="23" spans="1:6" x14ac:dyDescent="0.3">
      <c r="A23" t="s">
        <v>25</v>
      </c>
      <c r="E23" t="s">
        <v>26</v>
      </c>
    </row>
    <row r="24" spans="1:6" x14ac:dyDescent="0.3">
      <c r="A24" t="s">
        <v>27</v>
      </c>
      <c r="E24">
        <v>485</v>
      </c>
      <c r="F24" t="s">
        <v>28</v>
      </c>
    </row>
    <row r="25" spans="1:6" x14ac:dyDescent="0.3">
      <c r="A25" t="s">
        <v>29</v>
      </c>
      <c r="E25">
        <v>535</v>
      </c>
      <c r="F25" t="s">
        <v>28</v>
      </c>
    </row>
    <row r="26" spans="1:6" x14ac:dyDescent="0.3">
      <c r="A26" t="s">
        <v>30</v>
      </c>
      <c r="E26">
        <v>20</v>
      </c>
      <c r="F26" t="s">
        <v>28</v>
      </c>
    </row>
    <row r="27" spans="1:6" x14ac:dyDescent="0.3">
      <c r="A27" t="s">
        <v>31</v>
      </c>
      <c r="E27">
        <v>25</v>
      </c>
      <c r="F27" t="s">
        <v>28</v>
      </c>
    </row>
    <row r="28" spans="1:6" x14ac:dyDescent="0.3">
      <c r="A28" t="s">
        <v>32</v>
      </c>
      <c r="E28">
        <v>88</v>
      </c>
      <c r="F28" t="s">
        <v>33</v>
      </c>
    </row>
    <row r="29" spans="1:6" x14ac:dyDescent="0.3">
      <c r="A29" t="s">
        <v>34</v>
      </c>
      <c r="E29">
        <v>25</v>
      </c>
    </row>
    <row r="30" spans="1:6" x14ac:dyDescent="0.3">
      <c r="A30" t="s">
        <v>35</v>
      </c>
      <c r="E30">
        <v>20</v>
      </c>
      <c r="F30" t="s">
        <v>36</v>
      </c>
    </row>
    <row r="31" spans="1:6" x14ac:dyDescent="0.3">
      <c r="A31" t="s">
        <v>37</v>
      </c>
      <c r="E31">
        <v>0</v>
      </c>
      <c r="F31" t="s">
        <v>36</v>
      </c>
    </row>
    <row r="32" spans="1:6" x14ac:dyDescent="0.3">
      <c r="A32" t="s">
        <v>38</v>
      </c>
      <c r="E32">
        <v>0</v>
      </c>
      <c r="F32" t="s">
        <v>39</v>
      </c>
    </row>
    <row r="33" spans="1:69" x14ac:dyDescent="0.3">
      <c r="A33" t="s">
        <v>40</v>
      </c>
      <c r="E33" t="s">
        <v>60</v>
      </c>
    </row>
    <row r="34" spans="1:69" x14ac:dyDescent="0.3">
      <c r="A34" t="s">
        <v>42</v>
      </c>
      <c r="B34" s="1" t="s">
        <v>61</v>
      </c>
    </row>
    <row r="36" spans="1:69" x14ac:dyDescent="0.3">
      <c r="A36" s="5" t="s">
        <v>53</v>
      </c>
      <c r="B36" s="5" t="s">
        <v>54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69" x14ac:dyDescent="0.3">
      <c r="A37" s="5"/>
      <c r="B37" s="5" t="s">
        <v>55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69" x14ac:dyDescent="0.3">
      <c r="A38" s="5"/>
      <c r="B38" s="5" t="s">
        <v>56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69" x14ac:dyDescent="0.3">
      <c r="A39" s="5"/>
      <c r="B39" s="5" t="s">
        <v>66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1" spans="1:69" x14ac:dyDescent="0.3">
      <c r="A41" s="4" t="s">
        <v>44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</row>
    <row r="42" spans="1:69" x14ac:dyDescent="0.3">
      <c r="A42" s="4" t="s">
        <v>45</v>
      </c>
      <c r="B42">
        <v>0</v>
      </c>
      <c r="C42">
        <v>3.6</v>
      </c>
      <c r="D42">
        <v>7.1</v>
      </c>
      <c r="E42">
        <v>10.7</v>
      </c>
      <c r="F42">
        <v>14.2</v>
      </c>
      <c r="G42">
        <v>17.8</v>
      </c>
      <c r="H42">
        <v>21.4</v>
      </c>
      <c r="I42">
        <v>24.9</v>
      </c>
      <c r="J42">
        <v>28.5</v>
      </c>
      <c r="K42">
        <v>32</v>
      </c>
      <c r="L42">
        <v>35.6</v>
      </c>
      <c r="M42">
        <v>39.1</v>
      </c>
      <c r="N42">
        <v>42.7</v>
      </c>
      <c r="O42">
        <v>46.2</v>
      </c>
      <c r="P42">
        <v>49.8</v>
      </c>
      <c r="Q42">
        <v>53.4</v>
      </c>
      <c r="R42">
        <v>56.9</v>
      </c>
      <c r="S42">
        <v>60.5</v>
      </c>
      <c r="T42">
        <v>64</v>
      </c>
      <c r="U42">
        <v>67.599999999999994</v>
      </c>
      <c r="V42">
        <v>71.2</v>
      </c>
      <c r="W42">
        <v>74.7</v>
      </c>
      <c r="X42">
        <v>78.3</v>
      </c>
      <c r="Y42">
        <v>81.8</v>
      </c>
      <c r="Z42">
        <v>85.4</v>
      </c>
      <c r="AA42">
        <v>88.9</v>
      </c>
      <c r="AB42">
        <v>92.5</v>
      </c>
      <c r="AC42">
        <v>96</v>
      </c>
      <c r="AD42">
        <v>99.6</v>
      </c>
      <c r="AE42">
        <v>103.2</v>
      </c>
      <c r="AF42">
        <v>106.7</v>
      </c>
      <c r="AG42">
        <v>110.3</v>
      </c>
      <c r="AH42">
        <v>113.8</v>
      </c>
      <c r="AI42">
        <v>117.4</v>
      </c>
      <c r="AJ42">
        <v>121</v>
      </c>
      <c r="AK42">
        <v>124.5</v>
      </c>
      <c r="AL42">
        <v>128.1</v>
      </c>
      <c r="AM42">
        <v>131.6</v>
      </c>
      <c r="AN42">
        <v>135.19999999999999</v>
      </c>
      <c r="AO42">
        <v>138.80000000000001</v>
      </c>
      <c r="AP42">
        <v>142.30000000000001</v>
      </c>
      <c r="AQ42">
        <v>145.9</v>
      </c>
      <c r="AR42">
        <v>149.4</v>
      </c>
      <c r="AS42">
        <v>153</v>
      </c>
      <c r="AT42">
        <v>156.5</v>
      </c>
      <c r="AU42">
        <v>160.1</v>
      </c>
      <c r="AV42">
        <v>163.69999999999999</v>
      </c>
      <c r="AW42">
        <v>167.2</v>
      </c>
      <c r="AX42">
        <v>170.8</v>
      </c>
      <c r="AY42">
        <v>174.3</v>
      </c>
      <c r="AZ42">
        <v>177.9</v>
      </c>
      <c r="BA42">
        <v>181.5</v>
      </c>
      <c r="BB42">
        <v>185</v>
      </c>
      <c r="BC42">
        <v>188.6</v>
      </c>
      <c r="BD42">
        <v>192.1</v>
      </c>
      <c r="BE42">
        <v>195.7</v>
      </c>
      <c r="BF42">
        <v>199.3</v>
      </c>
      <c r="BG42">
        <v>202.8</v>
      </c>
      <c r="BH42">
        <v>206.4</v>
      </c>
      <c r="BI42">
        <v>209.9</v>
      </c>
      <c r="BJ42">
        <v>213.5</v>
      </c>
      <c r="BK42">
        <v>217</v>
      </c>
      <c r="BL42">
        <v>220.6</v>
      </c>
      <c r="BM42">
        <v>224.1</v>
      </c>
      <c r="BN42">
        <v>227.7</v>
      </c>
      <c r="BO42">
        <v>231.3</v>
      </c>
      <c r="BP42">
        <v>234.8</v>
      </c>
      <c r="BQ42">
        <v>238.4</v>
      </c>
    </row>
    <row r="43" spans="1:69" x14ac:dyDescent="0.3">
      <c r="A43" s="4" t="s">
        <v>46</v>
      </c>
      <c r="B43" t="s">
        <v>52</v>
      </c>
      <c r="C43" t="s">
        <v>52</v>
      </c>
      <c r="D43" t="s">
        <v>52</v>
      </c>
      <c r="E43" t="s">
        <v>52</v>
      </c>
      <c r="F43" t="s">
        <v>52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52</v>
      </c>
      <c r="AW43" t="s">
        <v>52</v>
      </c>
      <c r="AX43" t="s">
        <v>52</v>
      </c>
      <c r="AY43" t="s">
        <v>52</v>
      </c>
      <c r="AZ43" t="s">
        <v>52</v>
      </c>
      <c r="BA43" t="s">
        <v>52</v>
      </c>
      <c r="BB43" t="s">
        <v>52</v>
      </c>
      <c r="BC43" t="s">
        <v>52</v>
      </c>
      <c r="BD43" t="s">
        <v>52</v>
      </c>
      <c r="BE43" t="s">
        <v>52</v>
      </c>
      <c r="BF43" t="s">
        <v>52</v>
      </c>
      <c r="BG43" t="s">
        <v>52</v>
      </c>
      <c r="BH43" t="s">
        <v>52</v>
      </c>
      <c r="BI43" t="s">
        <v>52</v>
      </c>
      <c r="BJ43" t="s">
        <v>52</v>
      </c>
      <c r="BK43" t="s">
        <v>52</v>
      </c>
      <c r="BL43" t="s">
        <v>52</v>
      </c>
      <c r="BM43" t="s">
        <v>52</v>
      </c>
      <c r="BN43" t="s">
        <v>52</v>
      </c>
      <c r="BO43" t="s">
        <v>52</v>
      </c>
      <c r="BP43" t="s">
        <v>52</v>
      </c>
      <c r="BQ43" t="s">
        <v>52</v>
      </c>
    </row>
    <row r="44" spans="1:69" x14ac:dyDescent="0.3">
      <c r="A44" s="4" t="s">
        <v>62</v>
      </c>
      <c r="B44">
        <v>10092</v>
      </c>
      <c r="C44">
        <v>9954</v>
      </c>
      <c r="D44">
        <v>10017</v>
      </c>
      <c r="E44">
        <v>9962</v>
      </c>
      <c r="F44">
        <v>9759</v>
      </c>
      <c r="G44">
        <v>9723</v>
      </c>
      <c r="H44">
        <v>9720</v>
      </c>
      <c r="I44">
        <v>9737</v>
      </c>
      <c r="J44">
        <v>9760</v>
      </c>
      <c r="K44">
        <v>9692</v>
      </c>
      <c r="L44">
        <v>9756</v>
      </c>
      <c r="M44">
        <v>9781</v>
      </c>
      <c r="N44">
        <v>9784</v>
      </c>
      <c r="O44">
        <v>9812</v>
      </c>
      <c r="P44">
        <v>9838</v>
      </c>
      <c r="Q44">
        <v>9855</v>
      </c>
      <c r="R44">
        <v>9958</v>
      </c>
      <c r="S44">
        <v>10039</v>
      </c>
      <c r="T44">
        <v>9961</v>
      </c>
      <c r="U44">
        <v>10101</v>
      </c>
      <c r="V44">
        <v>10064</v>
      </c>
      <c r="W44">
        <v>10143</v>
      </c>
      <c r="X44">
        <v>10126</v>
      </c>
      <c r="Y44">
        <v>10229</v>
      </c>
      <c r="Z44">
        <v>10217</v>
      </c>
      <c r="AA44">
        <v>10215</v>
      </c>
      <c r="AB44">
        <v>10136</v>
      </c>
      <c r="AC44">
        <v>10332</v>
      </c>
      <c r="AD44">
        <v>10230</v>
      </c>
      <c r="AE44">
        <v>10288</v>
      </c>
      <c r="AF44">
        <v>10193</v>
      </c>
      <c r="AG44">
        <v>10294</v>
      </c>
      <c r="AH44">
        <v>10207</v>
      </c>
      <c r="AI44">
        <v>10310</v>
      </c>
      <c r="AJ44">
        <v>10307</v>
      </c>
      <c r="AK44">
        <v>10348</v>
      </c>
      <c r="AL44">
        <v>10196</v>
      </c>
      <c r="AM44">
        <v>10278</v>
      </c>
      <c r="AN44">
        <v>10373</v>
      </c>
      <c r="AO44">
        <v>10281</v>
      </c>
      <c r="AP44">
        <v>10265</v>
      </c>
      <c r="AQ44">
        <v>10167</v>
      </c>
      <c r="AR44">
        <v>10280</v>
      </c>
      <c r="AS44">
        <v>10227</v>
      </c>
      <c r="AT44">
        <v>10275</v>
      </c>
      <c r="AU44">
        <v>10349</v>
      </c>
      <c r="AV44">
        <v>10300</v>
      </c>
      <c r="AW44">
        <v>10344</v>
      </c>
      <c r="AX44">
        <v>10343</v>
      </c>
      <c r="AY44">
        <v>10342</v>
      </c>
      <c r="AZ44">
        <v>10358</v>
      </c>
      <c r="BA44">
        <v>10361</v>
      </c>
      <c r="BB44">
        <v>10333</v>
      </c>
      <c r="BC44">
        <v>10392</v>
      </c>
      <c r="BD44">
        <v>10464</v>
      </c>
      <c r="BE44">
        <v>10364</v>
      </c>
      <c r="BF44">
        <v>10448</v>
      </c>
      <c r="BG44">
        <v>10387</v>
      </c>
      <c r="BH44">
        <v>10238</v>
      </c>
      <c r="BI44">
        <v>10340</v>
      </c>
      <c r="BJ44">
        <v>10289</v>
      </c>
      <c r="BK44">
        <v>10308</v>
      </c>
      <c r="BL44">
        <v>10251</v>
      </c>
      <c r="BM44">
        <v>10246</v>
      </c>
      <c r="BN44">
        <v>10158</v>
      </c>
      <c r="BO44">
        <v>10232</v>
      </c>
      <c r="BP44">
        <v>10192</v>
      </c>
      <c r="BQ44">
        <v>10248</v>
      </c>
    </row>
    <row r="45" spans="1:69" x14ac:dyDescent="0.3">
      <c r="A45" s="4" t="s">
        <v>63</v>
      </c>
      <c r="B45">
        <v>28734</v>
      </c>
      <c r="C45">
        <v>28324</v>
      </c>
      <c r="D45">
        <v>28068</v>
      </c>
      <c r="E45">
        <v>28133</v>
      </c>
      <c r="F45">
        <v>27872</v>
      </c>
      <c r="G45">
        <v>27685</v>
      </c>
      <c r="H45">
        <v>27212</v>
      </c>
      <c r="I45">
        <v>27092</v>
      </c>
      <c r="J45">
        <v>26942</v>
      </c>
      <c r="K45">
        <v>26897</v>
      </c>
      <c r="L45">
        <v>26624</v>
      </c>
      <c r="M45">
        <v>26597</v>
      </c>
      <c r="N45">
        <v>26522</v>
      </c>
      <c r="O45">
        <v>26357</v>
      </c>
      <c r="P45">
        <v>26156</v>
      </c>
      <c r="Q45">
        <v>26214</v>
      </c>
      <c r="R45">
        <v>26035</v>
      </c>
      <c r="S45">
        <v>26224</v>
      </c>
      <c r="T45">
        <v>26068</v>
      </c>
      <c r="U45">
        <v>26181</v>
      </c>
      <c r="V45">
        <v>26237</v>
      </c>
      <c r="W45">
        <v>26229</v>
      </c>
      <c r="X45">
        <v>26333</v>
      </c>
      <c r="Y45">
        <v>26395</v>
      </c>
      <c r="Z45">
        <v>26097</v>
      </c>
      <c r="AA45">
        <v>26183</v>
      </c>
      <c r="AB45">
        <v>25877</v>
      </c>
      <c r="AC45">
        <v>26315</v>
      </c>
      <c r="AD45">
        <v>25993</v>
      </c>
      <c r="AE45">
        <v>26046</v>
      </c>
      <c r="AF45">
        <v>25861</v>
      </c>
      <c r="AG45">
        <v>25814</v>
      </c>
      <c r="AH45">
        <v>25695</v>
      </c>
      <c r="AI45">
        <v>25631</v>
      </c>
      <c r="AJ45">
        <v>25607</v>
      </c>
      <c r="AK45">
        <v>25443</v>
      </c>
      <c r="AL45">
        <v>25454</v>
      </c>
      <c r="AM45">
        <v>25226</v>
      </c>
      <c r="AN45">
        <v>25488</v>
      </c>
      <c r="AO45">
        <v>25035</v>
      </c>
      <c r="AP45">
        <v>24846</v>
      </c>
      <c r="AQ45">
        <v>24688</v>
      </c>
      <c r="AR45">
        <v>24791</v>
      </c>
      <c r="AS45">
        <v>24713</v>
      </c>
      <c r="AT45">
        <v>24586</v>
      </c>
      <c r="AU45">
        <v>24684</v>
      </c>
      <c r="AV45">
        <v>24451</v>
      </c>
      <c r="AW45">
        <v>24388</v>
      </c>
      <c r="AX45">
        <v>24334</v>
      </c>
      <c r="AY45">
        <v>24266</v>
      </c>
      <c r="AZ45">
        <v>24352</v>
      </c>
      <c r="BA45">
        <v>24115</v>
      </c>
      <c r="BB45">
        <v>23917</v>
      </c>
      <c r="BC45">
        <v>23979</v>
      </c>
      <c r="BD45">
        <v>24211</v>
      </c>
      <c r="BE45">
        <v>23849</v>
      </c>
      <c r="BF45">
        <v>23846</v>
      </c>
      <c r="BG45">
        <v>23822</v>
      </c>
      <c r="BH45">
        <v>23443</v>
      </c>
      <c r="BI45">
        <v>23257</v>
      </c>
      <c r="BJ45">
        <v>23427</v>
      </c>
      <c r="BK45">
        <v>23416</v>
      </c>
      <c r="BL45">
        <v>23089</v>
      </c>
      <c r="BM45">
        <v>23072</v>
      </c>
      <c r="BN45">
        <v>22855</v>
      </c>
      <c r="BO45">
        <v>23047</v>
      </c>
      <c r="BP45">
        <v>22954</v>
      </c>
      <c r="BQ45">
        <v>22851</v>
      </c>
    </row>
    <row r="46" spans="1:69" x14ac:dyDescent="0.3">
      <c r="A46" s="4" t="s">
        <v>64</v>
      </c>
      <c r="B46">
        <v>10353</v>
      </c>
      <c r="C46">
        <v>10208</v>
      </c>
      <c r="D46">
        <v>10250</v>
      </c>
      <c r="E46">
        <v>10360</v>
      </c>
      <c r="F46">
        <v>10169</v>
      </c>
      <c r="G46">
        <v>10186</v>
      </c>
      <c r="H46">
        <v>10218</v>
      </c>
      <c r="I46">
        <v>10231</v>
      </c>
      <c r="J46">
        <v>10225</v>
      </c>
      <c r="K46">
        <v>10256</v>
      </c>
      <c r="L46">
        <v>10328</v>
      </c>
      <c r="M46">
        <v>10336</v>
      </c>
      <c r="N46">
        <v>10298</v>
      </c>
      <c r="O46">
        <v>10336</v>
      </c>
      <c r="P46">
        <v>10383</v>
      </c>
      <c r="Q46">
        <v>10394</v>
      </c>
      <c r="R46">
        <v>10431</v>
      </c>
      <c r="S46">
        <v>10492</v>
      </c>
      <c r="T46">
        <v>10429</v>
      </c>
      <c r="U46">
        <v>10446</v>
      </c>
      <c r="V46">
        <v>10464</v>
      </c>
      <c r="W46">
        <v>10434</v>
      </c>
      <c r="X46">
        <v>10499</v>
      </c>
      <c r="Y46">
        <v>10453</v>
      </c>
      <c r="Z46">
        <v>10396</v>
      </c>
      <c r="AA46">
        <v>10478</v>
      </c>
      <c r="AB46">
        <v>10483</v>
      </c>
      <c r="AC46">
        <v>10509</v>
      </c>
      <c r="AD46">
        <v>10472</v>
      </c>
      <c r="AE46">
        <v>10466</v>
      </c>
      <c r="AF46">
        <v>10376</v>
      </c>
      <c r="AG46">
        <v>10532</v>
      </c>
      <c r="AH46">
        <v>10373</v>
      </c>
      <c r="AI46">
        <v>10417</v>
      </c>
      <c r="AJ46">
        <v>10537</v>
      </c>
      <c r="AK46">
        <v>10464</v>
      </c>
      <c r="AL46">
        <v>10399</v>
      </c>
      <c r="AM46">
        <v>10397</v>
      </c>
      <c r="AN46">
        <v>10417</v>
      </c>
      <c r="AO46">
        <v>10456</v>
      </c>
      <c r="AP46">
        <v>10411</v>
      </c>
      <c r="AQ46">
        <v>10330</v>
      </c>
      <c r="AR46">
        <v>10363</v>
      </c>
      <c r="AS46">
        <v>10387</v>
      </c>
      <c r="AT46">
        <v>10479</v>
      </c>
      <c r="AU46">
        <v>10439</v>
      </c>
      <c r="AV46">
        <v>10439</v>
      </c>
      <c r="AW46">
        <v>10391</v>
      </c>
      <c r="AX46">
        <v>10467</v>
      </c>
      <c r="AY46">
        <v>10444</v>
      </c>
      <c r="AZ46">
        <v>10514</v>
      </c>
      <c r="BA46">
        <v>10482</v>
      </c>
      <c r="BB46">
        <v>10467</v>
      </c>
      <c r="BC46">
        <v>10458</v>
      </c>
      <c r="BD46">
        <v>10544</v>
      </c>
      <c r="BE46">
        <v>10528</v>
      </c>
      <c r="BF46">
        <v>10537</v>
      </c>
      <c r="BG46">
        <v>10640</v>
      </c>
      <c r="BH46">
        <v>10444</v>
      </c>
      <c r="BI46">
        <v>10384</v>
      </c>
      <c r="BJ46">
        <v>10329</v>
      </c>
      <c r="BK46">
        <v>10464</v>
      </c>
      <c r="BL46">
        <v>10443</v>
      </c>
      <c r="BM46">
        <v>10487</v>
      </c>
      <c r="BN46">
        <v>10315</v>
      </c>
      <c r="BO46">
        <v>10470</v>
      </c>
      <c r="BP46">
        <v>10478</v>
      </c>
      <c r="BQ46">
        <v>10461</v>
      </c>
    </row>
    <row r="47" spans="1:69" x14ac:dyDescent="0.3">
      <c r="A47" s="4" t="s">
        <v>65</v>
      </c>
      <c r="B47">
        <v>41997</v>
      </c>
      <c r="C47">
        <v>41221</v>
      </c>
      <c r="D47">
        <v>41413</v>
      </c>
      <c r="E47">
        <v>41272</v>
      </c>
      <c r="F47">
        <v>41056</v>
      </c>
      <c r="G47">
        <v>41014</v>
      </c>
      <c r="H47">
        <v>40495</v>
      </c>
      <c r="I47">
        <v>40619</v>
      </c>
      <c r="J47">
        <v>40686</v>
      </c>
      <c r="K47">
        <v>40398</v>
      </c>
      <c r="L47">
        <v>41924</v>
      </c>
      <c r="M47">
        <v>40930</v>
      </c>
      <c r="N47">
        <v>40959</v>
      </c>
      <c r="O47">
        <v>40783</v>
      </c>
      <c r="P47">
        <v>41006</v>
      </c>
      <c r="Q47">
        <v>41116</v>
      </c>
      <c r="R47">
        <v>41263</v>
      </c>
      <c r="S47">
        <v>41142</v>
      </c>
      <c r="T47">
        <v>41056</v>
      </c>
      <c r="U47">
        <v>41023</v>
      </c>
      <c r="V47">
        <v>40716</v>
      </c>
      <c r="W47">
        <v>40804</v>
      </c>
      <c r="X47">
        <v>40908</v>
      </c>
      <c r="Y47">
        <v>40822</v>
      </c>
      <c r="Z47">
        <v>40684</v>
      </c>
      <c r="AA47">
        <v>40478</v>
      </c>
      <c r="AB47">
        <v>40410</v>
      </c>
      <c r="AC47">
        <v>40444</v>
      </c>
      <c r="AD47">
        <v>40476</v>
      </c>
      <c r="AE47">
        <v>40255</v>
      </c>
      <c r="AF47">
        <v>39984</v>
      </c>
      <c r="AG47">
        <v>40228</v>
      </c>
      <c r="AH47">
        <v>39959</v>
      </c>
      <c r="AI47">
        <v>40038</v>
      </c>
      <c r="AJ47">
        <v>40247</v>
      </c>
      <c r="AK47">
        <v>40156</v>
      </c>
      <c r="AL47">
        <v>39593</v>
      </c>
      <c r="AM47">
        <v>39772</v>
      </c>
      <c r="AN47">
        <v>39972</v>
      </c>
      <c r="AO47">
        <v>39744</v>
      </c>
      <c r="AP47">
        <v>39747</v>
      </c>
      <c r="AQ47">
        <v>39399</v>
      </c>
      <c r="AR47">
        <v>39579</v>
      </c>
      <c r="AS47">
        <v>39455</v>
      </c>
      <c r="AT47">
        <v>40033</v>
      </c>
      <c r="AU47">
        <v>42471</v>
      </c>
      <c r="AV47">
        <v>39337</v>
      </c>
      <c r="AW47">
        <v>39568</v>
      </c>
      <c r="AX47">
        <v>39494</v>
      </c>
      <c r="AY47">
        <v>39236</v>
      </c>
      <c r="AZ47">
        <v>39823</v>
      </c>
      <c r="BA47">
        <v>39282</v>
      </c>
      <c r="BB47">
        <v>39170</v>
      </c>
      <c r="BC47">
        <v>39180</v>
      </c>
      <c r="BD47">
        <v>39590</v>
      </c>
      <c r="BE47">
        <v>39113</v>
      </c>
      <c r="BF47">
        <v>39442</v>
      </c>
      <c r="BG47">
        <v>39389</v>
      </c>
      <c r="BH47">
        <v>38629</v>
      </c>
      <c r="BI47">
        <v>38401</v>
      </c>
      <c r="BJ47">
        <v>38059</v>
      </c>
      <c r="BK47">
        <v>38596</v>
      </c>
      <c r="BL47">
        <v>39304</v>
      </c>
      <c r="BM47">
        <v>40637</v>
      </c>
      <c r="BN47">
        <v>38049</v>
      </c>
      <c r="BO47">
        <v>38226</v>
      </c>
      <c r="BP47">
        <v>38045</v>
      </c>
      <c r="BQ47">
        <v>38434</v>
      </c>
    </row>
    <row r="48" spans="1:69" x14ac:dyDescent="0.3">
      <c r="B48">
        <v>0</v>
      </c>
      <c r="C48">
        <v>3.6</v>
      </c>
      <c r="D48">
        <v>7.1</v>
      </c>
      <c r="E48">
        <v>10.7</v>
      </c>
      <c r="F48">
        <v>14.2</v>
      </c>
      <c r="G48">
        <v>17.8</v>
      </c>
      <c r="H48">
        <v>21.4</v>
      </c>
      <c r="I48">
        <v>24.9</v>
      </c>
      <c r="J48">
        <v>28.5</v>
      </c>
      <c r="K48">
        <v>32</v>
      </c>
      <c r="L48">
        <v>35.6</v>
      </c>
      <c r="M48">
        <v>39.1</v>
      </c>
      <c r="N48">
        <v>42.7</v>
      </c>
      <c r="O48">
        <v>46.2</v>
      </c>
      <c r="P48">
        <v>49.8</v>
      </c>
      <c r="Q48">
        <v>53.4</v>
      </c>
      <c r="R48">
        <v>56.9</v>
      </c>
      <c r="S48">
        <v>60.5</v>
      </c>
      <c r="T48">
        <v>64</v>
      </c>
      <c r="U48">
        <v>67.599999999999994</v>
      </c>
      <c r="V48">
        <v>71.2</v>
      </c>
      <c r="W48">
        <v>74.7</v>
      </c>
      <c r="X48">
        <v>78.3</v>
      </c>
      <c r="Y48">
        <v>81.8</v>
      </c>
      <c r="Z48">
        <v>85.4</v>
      </c>
      <c r="AA48">
        <v>88.9</v>
      </c>
      <c r="AB48">
        <v>92.5</v>
      </c>
      <c r="AC48">
        <v>96</v>
      </c>
      <c r="AD48">
        <v>99.6</v>
      </c>
      <c r="AE48">
        <v>103.2</v>
      </c>
      <c r="AF48">
        <v>106.7</v>
      </c>
      <c r="AG48">
        <v>110.3</v>
      </c>
      <c r="AH48">
        <v>113.8</v>
      </c>
      <c r="AI48">
        <v>117.4</v>
      </c>
      <c r="AJ48">
        <v>121</v>
      </c>
      <c r="AK48">
        <v>124.5</v>
      </c>
      <c r="AL48">
        <v>128.1</v>
      </c>
      <c r="AM48">
        <v>131.6</v>
      </c>
      <c r="AN48">
        <v>135.19999999999999</v>
      </c>
      <c r="AO48">
        <v>138.80000000000001</v>
      </c>
      <c r="AP48">
        <v>142.30000000000001</v>
      </c>
      <c r="AQ48">
        <v>145.9</v>
      </c>
      <c r="AR48">
        <v>149.4</v>
      </c>
      <c r="AS48">
        <v>153</v>
      </c>
      <c r="AT48">
        <v>156.5</v>
      </c>
      <c r="AU48">
        <v>160.1</v>
      </c>
      <c r="AV48">
        <v>163.69999999999999</v>
      </c>
      <c r="AW48">
        <v>167.2</v>
      </c>
      <c r="AX48">
        <v>170.8</v>
      </c>
      <c r="AY48">
        <v>174.3</v>
      </c>
      <c r="AZ48">
        <v>177.9</v>
      </c>
      <c r="BA48">
        <v>181.5</v>
      </c>
      <c r="BB48">
        <v>185</v>
      </c>
      <c r="BC48">
        <v>188.6</v>
      </c>
      <c r="BD48">
        <v>192.1</v>
      </c>
      <c r="BE48">
        <v>195.7</v>
      </c>
      <c r="BF48">
        <v>199.3</v>
      </c>
      <c r="BG48">
        <v>202.8</v>
      </c>
      <c r="BH48">
        <v>206.4</v>
      </c>
      <c r="BI48">
        <v>209.9</v>
      </c>
      <c r="BJ48">
        <v>213.5</v>
      </c>
      <c r="BK48">
        <v>217</v>
      </c>
      <c r="BL48">
        <v>220.6</v>
      </c>
      <c r="BM48">
        <v>224.1</v>
      </c>
      <c r="BN48">
        <v>227.7</v>
      </c>
      <c r="BO48">
        <v>231.3</v>
      </c>
      <c r="BP48">
        <v>234.8</v>
      </c>
      <c r="BQ48">
        <v>238.4</v>
      </c>
    </row>
    <row r="49" spans="1:69" ht="15.6" x14ac:dyDescent="0.35">
      <c r="A49" s="7" t="s">
        <v>91</v>
      </c>
      <c r="B49">
        <f>(B45-B44)/B44</f>
        <v>1.8472057074910821</v>
      </c>
      <c r="C49">
        <f t="shared" ref="C49:BN49" si="0">(C45-C44)/C44</f>
        <v>1.8454892505525418</v>
      </c>
      <c r="D49">
        <f t="shared" si="0"/>
        <v>1.8020365378855945</v>
      </c>
      <c r="E49">
        <f t="shared" si="0"/>
        <v>1.8240313190122466</v>
      </c>
      <c r="F49">
        <f t="shared" si="0"/>
        <v>1.8560303309765345</v>
      </c>
      <c r="G49">
        <f t="shared" si="0"/>
        <v>1.8473722102231822</v>
      </c>
      <c r="H49">
        <f t="shared" si="0"/>
        <v>1.7995884773662552</v>
      </c>
      <c r="I49">
        <f t="shared" si="0"/>
        <v>1.7823765020026703</v>
      </c>
      <c r="J49">
        <f t="shared" si="0"/>
        <v>1.7604508196721311</v>
      </c>
      <c r="K49">
        <f t="shared" si="0"/>
        <v>1.7751754023937267</v>
      </c>
      <c r="L49">
        <f t="shared" si="0"/>
        <v>1.7289872898728986</v>
      </c>
      <c r="M49">
        <f t="shared" si="0"/>
        <v>1.719251610264799</v>
      </c>
      <c r="N49">
        <f t="shared" si="0"/>
        <v>1.7107522485690925</v>
      </c>
      <c r="O49">
        <f t="shared" si="0"/>
        <v>1.6862005707297187</v>
      </c>
      <c r="P49">
        <f t="shared" si="0"/>
        <v>1.6586704614759098</v>
      </c>
      <c r="Q49">
        <f t="shared" si="0"/>
        <v>1.6599695585996956</v>
      </c>
      <c r="R49">
        <f t="shared" si="0"/>
        <v>1.6144808194416549</v>
      </c>
      <c r="S49">
        <f t="shared" si="0"/>
        <v>1.6122123717501744</v>
      </c>
      <c r="T49">
        <f t="shared" si="0"/>
        <v>1.6170063246661981</v>
      </c>
      <c r="U49">
        <f t="shared" si="0"/>
        <v>1.5919215919215919</v>
      </c>
      <c r="V49">
        <f t="shared" si="0"/>
        <v>1.6070151033386328</v>
      </c>
      <c r="W49">
        <f t="shared" si="0"/>
        <v>1.5859213250517599</v>
      </c>
      <c r="X49">
        <f t="shared" si="0"/>
        <v>1.6005332806636381</v>
      </c>
      <c r="Y49">
        <f t="shared" si="0"/>
        <v>1.5804086420960015</v>
      </c>
      <c r="Z49">
        <f t="shared" si="0"/>
        <v>1.5542722912792404</v>
      </c>
      <c r="AA49">
        <f t="shared" si="0"/>
        <v>1.563191385217817</v>
      </c>
      <c r="AB49">
        <f t="shared" si="0"/>
        <v>1.5529794790844516</v>
      </c>
      <c r="AC49">
        <f t="shared" si="0"/>
        <v>1.5469415408439799</v>
      </c>
      <c r="AD49">
        <f t="shared" si="0"/>
        <v>1.5408602150537634</v>
      </c>
      <c r="AE49">
        <f t="shared" si="0"/>
        <v>1.5316874027993779</v>
      </c>
      <c r="AF49">
        <f t="shared" si="0"/>
        <v>1.537133326792897</v>
      </c>
      <c r="AG49">
        <f t="shared" si="0"/>
        <v>1.5076743734214106</v>
      </c>
      <c r="AH49">
        <f t="shared" si="0"/>
        <v>1.5173900264524347</v>
      </c>
      <c r="AI49">
        <f t="shared" si="0"/>
        <v>1.4860329776915615</v>
      </c>
      <c r="AJ49">
        <f t="shared" si="0"/>
        <v>1.4844280586009508</v>
      </c>
      <c r="AK49">
        <f t="shared" si="0"/>
        <v>1.45873598763046</v>
      </c>
      <c r="AL49">
        <f t="shared" si="0"/>
        <v>1.4964692036092586</v>
      </c>
      <c r="AM49">
        <f t="shared" si="0"/>
        <v>1.4543685541934228</v>
      </c>
      <c r="AN49">
        <f t="shared" si="0"/>
        <v>1.4571483659500626</v>
      </c>
      <c r="AO49">
        <f t="shared" si="0"/>
        <v>1.4350744091041727</v>
      </c>
      <c r="AP49">
        <f t="shared" si="0"/>
        <v>1.4204578665367755</v>
      </c>
      <c r="AQ49">
        <f t="shared" si="0"/>
        <v>1.4282482541556014</v>
      </c>
      <c r="AR49">
        <f t="shared" si="0"/>
        <v>1.4115758754863814</v>
      </c>
      <c r="AS49">
        <f t="shared" si="0"/>
        <v>1.4164466607998436</v>
      </c>
      <c r="AT49">
        <f t="shared" si="0"/>
        <v>1.3927980535279805</v>
      </c>
      <c r="AU49">
        <f t="shared" si="0"/>
        <v>1.3851579862788674</v>
      </c>
      <c r="AV49">
        <f t="shared" si="0"/>
        <v>1.3738834951456311</v>
      </c>
      <c r="AW49">
        <f t="shared" si="0"/>
        <v>1.3576952822892498</v>
      </c>
      <c r="AX49">
        <f t="shared" si="0"/>
        <v>1.3527023107415643</v>
      </c>
      <c r="AY49">
        <f t="shared" si="0"/>
        <v>1.3463546702765423</v>
      </c>
      <c r="AZ49">
        <f t="shared" si="0"/>
        <v>1.3510330179571346</v>
      </c>
      <c r="BA49">
        <f t="shared" si="0"/>
        <v>1.3274780426599748</v>
      </c>
      <c r="BB49">
        <f t="shared" si="0"/>
        <v>1.3146230523565277</v>
      </c>
      <c r="BC49">
        <f t="shared" si="0"/>
        <v>1.3074480369515011</v>
      </c>
      <c r="BD49">
        <f t="shared" si="0"/>
        <v>1.3137423547400611</v>
      </c>
      <c r="BE49">
        <f t="shared" si="0"/>
        <v>1.3011385565418758</v>
      </c>
      <c r="BF49">
        <f t="shared" si="0"/>
        <v>1.2823506891271057</v>
      </c>
      <c r="BG49">
        <f t="shared" si="0"/>
        <v>1.2934437277365938</v>
      </c>
      <c r="BH49">
        <f t="shared" si="0"/>
        <v>1.289802695839031</v>
      </c>
      <c r="BI49">
        <f t="shared" si="0"/>
        <v>1.2492263056092843</v>
      </c>
      <c r="BJ49">
        <f t="shared" si="0"/>
        <v>1.2768976576926816</v>
      </c>
      <c r="BK49">
        <f t="shared" si="0"/>
        <v>1.2716336825766394</v>
      </c>
      <c r="BL49">
        <f t="shared" si="0"/>
        <v>1.2523656228660618</v>
      </c>
      <c r="BM49">
        <f t="shared" si="0"/>
        <v>1.2518055826664065</v>
      </c>
      <c r="BN49">
        <f t="shared" si="0"/>
        <v>1.2499507777121481</v>
      </c>
      <c r="BO49">
        <f t="shared" ref="BO49:BQ49" si="1">(BO45-BO44)/BO44</f>
        <v>1.2524433150899139</v>
      </c>
      <c r="BP49">
        <f t="shared" si="1"/>
        <v>1.2521585557299844</v>
      </c>
      <c r="BQ49">
        <f t="shared" si="1"/>
        <v>1.2298009367681499</v>
      </c>
    </row>
    <row r="50" spans="1:69" ht="15.6" x14ac:dyDescent="0.35">
      <c r="A50" s="7" t="s">
        <v>92</v>
      </c>
      <c r="B50">
        <f>(B47-B46)/B46</f>
        <v>3.0565053607649957</v>
      </c>
      <c r="C50">
        <f t="shared" ref="C50:BN50" si="2">(C47-C46)/C46</f>
        <v>3.0381073667711598</v>
      </c>
      <c r="D50">
        <f t="shared" si="2"/>
        <v>3.0402926829268293</v>
      </c>
      <c r="E50">
        <f t="shared" si="2"/>
        <v>2.9837837837837839</v>
      </c>
      <c r="F50">
        <f t="shared" si="2"/>
        <v>3.0373684728095189</v>
      </c>
      <c r="G50">
        <f t="shared" si="2"/>
        <v>3.0265069703514627</v>
      </c>
      <c r="H50">
        <f t="shared" si="2"/>
        <v>2.9631043256997454</v>
      </c>
      <c r="I50">
        <f t="shared" si="2"/>
        <v>2.9701886423614505</v>
      </c>
      <c r="J50">
        <f t="shared" si="2"/>
        <v>2.9790709046454769</v>
      </c>
      <c r="K50">
        <f t="shared" si="2"/>
        <v>2.93896255850234</v>
      </c>
      <c r="L50">
        <f t="shared" si="2"/>
        <v>3.0592563903950425</v>
      </c>
      <c r="M50">
        <f t="shared" si="2"/>
        <v>2.9599458204334366</v>
      </c>
      <c r="N50">
        <f t="shared" si="2"/>
        <v>2.9773742474266847</v>
      </c>
      <c r="O50">
        <f t="shared" si="2"/>
        <v>2.9457236842105261</v>
      </c>
      <c r="P50">
        <f t="shared" si="2"/>
        <v>2.9493402677453529</v>
      </c>
      <c r="Q50">
        <f t="shared" si="2"/>
        <v>2.9557436982874736</v>
      </c>
      <c r="R50">
        <f t="shared" si="2"/>
        <v>2.9558048125778926</v>
      </c>
      <c r="S50">
        <f t="shared" si="2"/>
        <v>2.9212733511246665</v>
      </c>
      <c r="T50">
        <f t="shared" si="2"/>
        <v>2.9367149295234443</v>
      </c>
      <c r="U50">
        <f t="shared" si="2"/>
        <v>2.9271491479992342</v>
      </c>
      <c r="V50">
        <f t="shared" si="2"/>
        <v>2.8910550458715596</v>
      </c>
      <c r="W50">
        <f t="shared" si="2"/>
        <v>2.9106766340808896</v>
      </c>
      <c r="X50">
        <f t="shared" si="2"/>
        <v>2.896371082960282</v>
      </c>
      <c r="Y50">
        <f t="shared" si="2"/>
        <v>2.9052903472687266</v>
      </c>
      <c r="Z50">
        <f t="shared" si="2"/>
        <v>2.9134282416313968</v>
      </c>
      <c r="AA50">
        <f t="shared" si="2"/>
        <v>2.863141820958198</v>
      </c>
      <c r="AB50">
        <f t="shared" si="2"/>
        <v>2.854812553658304</v>
      </c>
      <c r="AC50">
        <f t="shared" si="2"/>
        <v>2.8485108002664381</v>
      </c>
      <c r="AD50">
        <f t="shared" si="2"/>
        <v>2.8651642475171886</v>
      </c>
      <c r="AE50">
        <f t="shared" si="2"/>
        <v>2.8462640932543475</v>
      </c>
      <c r="AF50">
        <f t="shared" si="2"/>
        <v>2.853508095605243</v>
      </c>
      <c r="AG50">
        <f t="shared" si="2"/>
        <v>2.8195974173946068</v>
      </c>
      <c r="AH50">
        <f t="shared" si="2"/>
        <v>2.8522124746939168</v>
      </c>
      <c r="AI50">
        <f t="shared" si="2"/>
        <v>2.8435250071997697</v>
      </c>
      <c r="AJ50">
        <f t="shared" si="2"/>
        <v>2.8195881180601687</v>
      </c>
      <c r="AK50">
        <f t="shared" si="2"/>
        <v>2.837538226299694</v>
      </c>
      <c r="AL50">
        <f t="shared" si="2"/>
        <v>2.8073853255120684</v>
      </c>
      <c r="AM50">
        <f t="shared" si="2"/>
        <v>2.8253342310281813</v>
      </c>
      <c r="AN50">
        <f t="shared" si="2"/>
        <v>2.8371892099452816</v>
      </c>
      <c r="AO50">
        <f t="shared" si="2"/>
        <v>2.8010711553175209</v>
      </c>
      <c r="AP50">
        <f t="shared" si="2"/>
        <v>2.817788877149169</v>
      </c>
      <c r="AQ50">
        <f t="shared" si="2"/>
        <v>2.8140367860600195</v>
      </c>
      <c r="AR50">
        <f t="shared" si="2"/>
        <v>2.8192608318054617</v>
      </c>
      <c r="AS50">
        <f t="shared" si="2"/>
        <v>2.7984981226533168</v>
      </c>
      <c r="AT50">
        <f t="shared" si="2"/>
        <v>2.820307281229125</v>
      </c>
      <c r="AU50">
        <f t="shared" si="2"/>
        <v>3.0684931506849313</v>
      </c>
      <c r="AV50">
        <f t="shared" si="2"/>
        <v>2.7682728230673437</v>
      </c>
      <c r="AW50">
        <f t="shared" si="2"/>
        <v>2.8079106919449526</v>
      </c>
      <c r="AX50">
        <f t="shared" si="2"/>
        <v>2.7731919365625299</v>
      </c>
      <c r="AY50">
        <f t="shared" si="2"/>
        <v>2.756798161623899</v>
      </c>
      <c r="AZ50">
        <f t="shared" si="2"/>
        <v>2.7876165113182423</v>
      </c>
      <c r="BA50">
        <f t="shared" si="2"/>
        <v>2.7475672581568404</v>
      </c>
      <c r="BB50">
        <f t="shared" si="2"/>
        <v>2.7422375083596062</v>
      </c>
      <c r="BC50">
        <f t="shared" si="2"/>
        <v>2.7464142283419393</v>
      </c>
      <c r="BD50">
        <f t="shared" si="2"/>
        <v>2.754742033383915</v>
      </c>
      <c r="BE50">
        <f t="shared" si="2"/>
        <v>2.715140577507599</v>
      </c>
      <c r="BF50">
        <f t="shared" si="2"/>
        <v>2.7431906614785992</v>
      </c>
      <c r="BG50">
        <f t="shared" si="2"/>
        <v>2.7019736842105262</v>
      </c>
      <c r="BH50">
        <f t="shared" si="2"/>
        <v>2.6986786671773269</v>
      </c>
      <c r="BI50">
        <f t="shared" si="2"/>
        <v>2.6980932203389831</v>
      </c>
      <c r="BJ50">
        <f t="shared" si="2"/>
        <v>2.6846742182205441</v>
      </c>
      <c r="BK50">
        <f t="shared" si="2"/>
        <v>2.6884556574923546</v>
      </c>
      <c r="BL50">
        <f t="shared" si="2"/>
        <v>2.7636694436464619</v>
      </c>
      <c r="BM50">
        <f t="shared" si="2"/>
        <v>2.8749880804805952</v>
      </c>
      <c r="BN50">
        <f t="shared" si="2"/>
        <v>2.6887057682985942</v>
      </c>
      <c r="BO50">
        <f t="shared" ref="BO50:BQ50" si="3">(BO47-BO46)/BO46</f>
        <v>2.651002865329513</v>
      </c>
      <c r="BP50">
        <f t="shared" si="3"/>
        <v>2.6309410192784881</v>
      </c>
      <c r="BQ50">
        <f t="shared" si="3"/>
        <v>2.6740273396424814</v>
      </c>
    </row>
    <row r="52" spans="1:69" x14ac:dyDescent="0.3">
      <c r="A52" t="s">
        <v>51</v>
      </c>
      <c r="B52" s="1" t="s">
        <v>67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52"/>
  <sheetViews>
    <sheetView topLeftCell="BF32" workbookViewId="0">
      <selection activeCell="A48" sqref="A48:BM50"/>
    </sheetView>
  </sheetViews>
  <sheetFormatPr baseColWidth="10" defaultRowHeight="14.4" x14ac:dyDescent="0.3"/>
  <sheetData>
    <row r="1" spans="1:12" x14ac:dyDescent="0.3">
      <c r="A1" t="s">
        <v>0</v>
      </c>
      <c r="E1" t="s">
        <v>1</v>
      </c>
    </row>
    <row r="2" spans="1:12" x14ac:dyDescent="0.3">
      <c r="A2" t="s">
        <v>2</v>
      </c>
      <c r="E2" t="s">
        <v>3</v>
      </c>
      <c r="I2" t="s">
        <v>4</v>
      </c>
    </row>
    <row r="3" spans="1:12" x14ac:dyDescent="0.3">
      <c r="A3" t="s">
        <v>5</v>
      </c>
      <c r="E3" t="s">
        <v>6</v>
      </c>
    </row>
    <row r="5" spans="1:12" x14ac:dyDescent="0.3">
      <c r="A5" t="s">
        <v>7</v>
      </c>
      <c r="B5" t="s">
        <v>8</v>
      </c>
    </row>
    <row r="6" spans="1:12" x14ac:dyDescent="0.3">
      <c r="A6" t="s">
        <v>9</v>
      </c>
      <c r="B6" s="1" t="s">
        <v>82</v>
      </c>
    </row>
    <row r="9" spans="1:12" x14ac:dyDescent="0.3">
      <c r="A9" t="s">
        <v>11</v>
      </c>
      <c r="E9" t="s">
        <v>12</v>
      </c>
    </row>
    <row r="10" spans="1:12" x14ac:dyDescent="0.3">
      <c r="A10" t="s">
        <v>13</v>
      </c>
      <c r="E10" t="s">
        <v>14</v>
      </c>
    </row>
    <row r="11" spans="1:12" x14ac:dyDescent="0.3">
      <c r="A11" t="s">
        <v>15</v>
      </c>
      <c r="E11" t="s">
        <v>16</v>
      </c>
    </row>
    <row r="12" spans="1:12" x14ac:dyDescent="0.3">
      <c r="A12" t="s">
        <v>17</v>
      </c>
    </row>
    <row r="14" spans="1:12" x14ac:dyDescent="0.3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9" spans="1:6" x14ac:dyDescent="0.3">
      <c r="A19" t="s">
        <v>21</v>
      </c>
    </row>
    <row r="20" spans="1:6" x14ac:dyDescent="0.3">
      <c r="A20" t="s">
        <v>22</v>
      </c>
    </row>
    <row r="21" spans="1:6" x14ac:dyDescent="0.3">
      <c r="A21" t="s">
        <v>23</v>
      </c>
      <c r="E21" s="3">
        <v>2.7777777777777779E-3</v>
      </c>
    </row>
    <row r="22" spans="1:6" x14ac:dyDescent="0.3">
      <c r="A22" t="s">
        <v>24</v>
      </c>
      <c r="E22" s="3">
        <v>2.3148148148148147E-5</v>
      </c>
    </row>
    <row r="23" spans="1:6" x14ac:dyDescent="0.3">
      <c r="A23" t="s">
        <v>25</v>
      </c>
      <c r="E23" t="s">
        <v>26</v>
      </c>
    </row>
    <row r="24" spans="1:6" x14ac:dyDescent="0.3">
      <c r="A24" t="s">
        <v>27</v>
      </c>
      <c r="E24">
        <v>485</v>
      </c>
      <c r="F24" t="s">
        <v>28</v>
      </c>
    </row>
    <row r="25" spans="1:6" x14ac:dyDescent="0.3">
      <c r="A25" t="s">
        <v>29</v>
      </c>
      <c r="E25">
        <v>535</v>
      </c>
      <c r="F25" t="s">
        <v>28</v>
      </c>
    </row>
    <row r="26" spans="1:6" x14ac:dyDescent="0.3">
      <c r="A26" t="s">
        <v>30</v>
      </c>
      <c r="E26">
        <v>20</v>
      </c>
      <c r="F26" t="s">
        <v>28</v>
      </c>
    </row>
    <row r="27" spans="1:6" x14ac:dyDescent="0.3">
      <c r="A27" t="s">
        <v>31</v>
      </c>
      <c r="E27">
        <v>25</v>
      </c>
      <c r="F27" t="s">
        <v>28</v>
      </c>
    </row>
    <row r="28" spans="1:6" x14ac:dyDescent="0.3">
      <c r="A28" t="s">
        <v>32</v>
      </c>
      <c r="E28">
        <v>91</v>
      </c>
      <c r="F28" t="s">
        <v>33</v>
      </c>
    </row>
    <row r="29" spans="1:6" x14ac:dyDescent="0.3">
      <c r="A29" t="s">
        <v>34</v>
      </c>
      <c r="E29">
        <v>25</v>
      </c>
    </row>
    <row r="30" spans="1:6" x14ac:dyDescent="0.3">
      <c r="A30" t="s">
        <v>35</v>
      </c>
      <c r="E30">
        <v>20</v>
      </c>
      <c r="F30" t="s">
        <v>36</v>
      </c>
    </row>
    <row r="31" spans="1:6" x14ac:dyDescent="0.3">
      <c r="A31" t="s">
        <v>37</v>
      </c>
      <c r="E31">
        <v>0</v>
      </c>
      <c r="F31" t="s">
        <v>36</v>
      </c>
    </row>
    <row r="32" spans="1:6" x14ac:dyDescent="0.3">
      <c r="A32" t="s">
        <v>38</v>
      </c>
      <c r="E32">
        <v>0</v>
      </c>
      <c r="F32" t="s">
        <v>39</v>
      </c>
    </row>
    <row r="33" spans="1:65" x14ac:dyDescent="0.3">
      <c r="A33" t="s">
        <v>40</v>
      </c>
      <c r="E33" t="s">
        <v>83</v>
      </c>
    </row>
    <row r="34" spans="1:65" x14ac:dyDescent="0.3">
      <c r="A34" t="s">
        <v>42</v>
      </c>
      <c r="B34" s="1" t="s">
        <v>84</v>
      </c>
    </row>
    <row r="36" spans="1:65" x14ac:dyDescent="0.3">
      <c r="A36" s="5" t="s">
        <v>53</v>
      </c>
      <c r="B36" s="5" t="s">
        <v>54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65" x14ac:dyDescent="0.3">
      <c r="A37" s="5"/>
      <c r="B37" s="5" t="s">
        <v>55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65" x14ac:dyDescent="0.3">
      <c r="A38" s="5"/>
      <c r="B38" s="5" t="s">
        <v>56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65" x14ac:dyDescent="0.3">
      <c r="A39" s="5"/>
      <c r="B39" s="5" t="s">
        <v>89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1" spans="1:65" x14ac:dyDescent="0.3">
      <c r="A41" s="4" t="s">
        <v>44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</row>
    <row r="42" spans="1:65" x14ac:dyDescent="0.3">
      <c r="A42" s="4" t="s">
        <v>45</v>
      </c>
      <c r="B42">
        <v>0</v>
      </c>
      <c r="C42">
        <v>3.8</v>
      </c>
      <c r="D42">
        <v>7.6</v>
      </c>
      <c r="E42">
        <v>11.4</v>
      </c>
      <c r="F42">
        <v>15.1</v>
      </c>
      <c r="G42">
        <v>18.899999999999999</v>
      </c>
      <c r="H42">
        <v>22.7</v>
      </c>
      <c r="I42">
        <v>26.5</v>
      </c>
      <c r="J42">
        <v>30.3</v>
      </c>
      <c r="K42">
        <v>34.1</v>
      </c>
      <c r="L42">
        <v>37.9</v>
      </c>
      <c r="M42">
        <v>41.6</v>
      </c>
      <c r="N42">
        <v>45.4</v>
      </c>
      <c r="O42">
        <v>49.2</v>
      </c>
      <c r="P42">
        <v>53</v>
      </c>
      <c r="Q42">
        <v>56.8</v>
      </c>
      <c r="R42">
        <v>60.6</v>
      </c>
      <c r="S42">
        <v>64.400000000000006</v>
      </c>
      <c r="T42">
        <v>68.099999999999994</v>
      </c>
      <c r="U42">
        <v>71.900000000000006</v>
      </c>
      <c r="V42">
        <v>75.7</v>
      </c>
      <c r="W42">
        <v>79.5</v>
      </c>
      <c r="X42">
        <v>83.3</v>
      </c>
      <c r="Y42">
        <v>87.1</v>
      </c>
      <c r="Z42">
        <v>90.9</v>
      </c>
      <c r="AA42">
        <v>94.7</v>
      </c>
      <c r="AB42">
        <v>98.4</v>
      </c>
      <c r="AC42">
        <v>102.2</v>
      </c>
      <c r="AD42">
        <v>106</v>
      </c>
      <c r="AE42">
        <v>109.8</v>
      </c>
      <c r="AF42">
        <v>113.6</v>
      </c>
      <c r="AG42">
        <v>117.4</v>
      </c>
      <c r="AH42">
        <v>121.2</v>
      </c>
      <c r="AI42">
        <v>124.9</v>
      </c>
      <c r="AJ42">
        <v>128.69999999999999</v>
      </c>
      <c r="AK42">
        <v>132.5</v>
      </c>
      <c r="AL42">
        <v>136.30000000000001</v>
      </c>
      <c r="AM42">
        <v>140.1</v>
      </c>
      <c r="AN42">
        <v>143.9</v>
      </c>
      <c r="AO42">
        <v>147.69999999999999</v>
      </c>
      <c r="AP42">
        <v>151.4</v>
      </c>
      <c r="AQ42">
        <v>155.19999999999999</v>
      </c>
      <c r="AR42">
        <v>159</v>
      </c>
      <c r="AS42">
        <v>162.80000000000001</v>
      </c>
      <c r="AT42">
        <v>166.6</v>
      </c>
      <c r="AU42">
        <v>170.4</v>
      </c>
      <c r="AV42">
        <v>174.2</v>
      </c>
      <c r="AW42">
        <v>177.9</v>
      </c>
      <c r="AX42">
        <v>181.7</v>
      </c>
      <c r="AY42">
        <v>185.5</v>
      </c>
      <c r="AZ42">
        <v>189.3</v>
      </c>
      <c r="BA42">
        <v>193.1</v>
      </c>
      <c r="BB42">
        <v>196.9</v>
      </c>
      <c r="BC42">
        <v>200.7</v>
      </c>
      <c r="BD42">
        <v>204.4</v>
      </c>
      <c r="BE42">
        <v>208.2</v>
      </c>
      <c r="BF42">
        <v>212</v>
      </c>
      <c r="BG42">
        <v>215.8</v>
      </c>
      <c r="BH42">
        <v>219.6</v>
      </c>
      <c r="BI42">
        <v>223.4</v>
      </c>
      <c r="BJ42">
        <v>227.2</v>
      </c>
      <c r="BK42">
        <v>230.9</v>
      </c>
      <c r="BL42">
        <v>234.7</v>
      </c>
      <c r="BM42">
        <v>238.5</v>
      </c>
    </row>
    <row r="43" spans="1:65" x14ac:dyDescent="0.3">
      <c r="A43" s="4" t="s">
        <v>46</v>
      </c>
      <c r="B43" t="s">
        <v>52</v>
      </c>
      <c r="C43" t="s">
        <v>52</v>
      </c>
      <c r="D43" t="s">
        <v>52</v>
      </c>
      <c r="E43" t="s">
        <v>52</v>
      </c>
      <c r="F43" t="s">
        <v>52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52</v>
      </c>
      <c r="AW43" t="s">
        <v>52</v>
      </c>
      <c r="AX43" t="s">
        <v>52</v>
      </c>
      <c r="AY43" t="s">
        <v>52</v>
      </c>
      <c r="AZ43" t="s">
        <v>52</v>
      </c>
      <c r="BA43" t="s">
        <v>52</v>
      </c>
      <c r="BB43" t="s">
        <v>52</v>
      </c>
      <c r="BC43" t="s">
        <v>52</v>
      </c>
      <c r="BD43" t="s">
        <v>52</v>
      </c>
      <c r="BE43" t="s">
        <v>52</v>
      </c>
      <c r="BF43" t="s">
        <v>52</v>
      </c>
      <c r="BG43" t="s">
        <v>52</v>
      </c>
      <c r="BH43" t="s">
        <v>52</v>
      </c>
      <c r="BI43" t="s">
        <v>52</v>
      </c>
      <c r="BJ43" t="s">
        <v>52</v>
      </c>
      <c r="BK43" t="s">
        <v>52</v>
      </c>
      <c r="BL43" t="s">
        <v>52</v>
      </c>
      <c r="BM43" t="s">
        <v>52</v>
      </c>
    </row>
    <row r="44" spans="1:65" x14ac:dyDescent="0.3">
      <c r="A44" s="4" t="s">
        <v>85</v>
      </c>
      <c r="B44">
        <v>10465</v>
      </c>
      <c r="C44">
        <v>10345</v>
      </c>
      <c r="D44">
        <v>10187</v>
      </c>
      <c r="E44">
        <v>10215</v>
      </c>
      <c r="F44">
        <v>10164</v>
      </c>
      <c r="G44">
        <v>10030</v>
      </c>
      <c r="H44">
        <v>9925</v>
      </c>
      <c r="I44">
        <v>9915</v>
      </c>
      <c r="J44">
        <v>9962</v>
      </c>
      <c r="K44">
        <v>9954</v>
      </c>
      <c r="L44">
        <v>9909</v>
      </c>
      <c r="M44">
        <v>9938</v>
      </c>
      <c r="N44">
        <v>9935</v>
      </c>
      <c r="O44">
        <v>9991</v>
      </c>
      <c r="P44">
        <v>10034</v>
      </c>
      <c r="Q44">
        <v>10042</v>
      </c>
      <c r="R44">
        <v>10026</v>
      </c>
      <c r="S44">
        <v>9978</v>
      </c>
      <c r="T44">
        <v>10138</v>
      </c>
      <c r="U44">
        <v>10186</v>
      </c>
      <c r="V44">
        <v>10195</v>
      </c>
      <c r="W44">
        <v>10248</v>
      </c>
      <c r="X44">
        <v>10289</v>
      </c>
      <c r="Y44">
        <v>10313</v>
      </c>
      <c r="Z44">
        <v>10323</v>
      </c>
      <c r="AA44">
        <v>10438</v>
      </c>
      <c r="AB44">
        <v>10493</v>
      </c>
      <c r="AC44">
        <v>10457</v>
      </c>
      <c r="AD44">
        <v>10514</v>
      </c>
      <c r="AE44">
        <v>10469</v>
      </c>
      <c r="AF44">
        <v>10500</v>
      </c>
      <c r="AG44">
        <v>10570</v>
      </c>
      <c r="AH44">
        <v>10477</v>
      </c>
      <c r="AI44">
        <v>10463</v>
      </c>
      <c r="AJ44">
        <v>10478</v>
      </c>
      <c r="AK44">
        <v>10492</v>
      </c>
      <c r="AL44">
        <v>10447</v>
      </c>
      <c r="AM44">
        <v>10534</v>
      </c>
      <c r="AN44">
        <v>10467</v>
      </c>
      <c r="AO44">
        <v>10512</v>
      </c>
      <c r="AP44">
        <v>10572</v>
      </c>
      <c r="AQ44">
        <v>10450</v>
      </c>
      <c r="AR44">
        <v>10505</v>
      </c>
      <c r="AS44">
        <v>10535</v>
      </c>
      <c r="AT44">
        <v>10458</v>
      </c>
      <c r="AU44">
        <v>10387</v>
      </c>
      <c r="AV44">
        <v>10405</v>
      </c>
      <c r="AW44">
        <v>10477</v>
      </c>
      <c r="AX44">
        <v>10480</v>
      </c>
      <c r="AY44">
        <v>10475</v>
      </c>
      <c r="AZ44">
        <v>10520</v>
      </c>
      <c r="BA44">
        <v>10497</v>
      </c>
      <c r="BB44">
        <v>10441</v>
      </c>
      <c r="BC44">
        <v>10529</v>
      </c>
      <c r="BD44">
        <v>10365</v>
      </c>
      <c r="BE44">
        <v>10419</v>
      </c>
      <c r="BF44">
        <v>10549</v>
      </c>
      <c r="BG44">
        <v>10458</v>
      </c>
      <c r="BH44">
        <v>10364</v>
      </c>
      <c r="BI44">
        <v>10402</v>
      </c>
      <c r="BJ44">
        <v>10381</v>
      </c>
      <c r="BK44">
        <v>10296</v>
      </c>
      <c r="BL44">
        <v>10372</v>
      </c>
      <c r="BM44">
        <v>10423</v>
      </c>
    </row>
    <row r="45" spans="1:65" x14ac:dyDescent="0.3">
      <c r="A45" s="4" t="s">
        <v>86</v>
      </c>
      <c r="B45">
        <v>25252</v>
      </c>
      <c r="C45">
        <v>24860</v>
      </c>
      <c r="D45">
        <v>24674</v>
      </c>
      <c r="E45">
        <v>24415</v>
      </c>
      <c r="F45">
        <v>24428</v>
      </c>
      <c r="G45">
        <v>24316</v>
      </c>
      <c r="H45">
        <v>23953</v>
      </c>
      <c r="I45">
        <v>23649</v>
      </c>
      <c r="J45">
        <v>23446</v>
      </c>
      <c r="K45">
        <v>23221</v>
      </c>
      <c r="L45">
        <v>23038</v>
      </c>
      <c r="M45">
        <v>22816</v>
      </c>
      <c r="N45">
        <v>22429</v>
      </c>
      <c r="O45">
        <v>22216</v>
      </c>
      <c r="P45">
        <v>22011</v>
      </c>
      <c r="Q45">
        <v>22041</v>
      </c>
      <c r="R45">
        <v>21799</v>
      </c>
      <c r="S45">
        <v>21465</v>
      </c>
      <c r="T45">
        <v>21755</v>
      </c>
      <c r="U45">
        <v>21479</v>
      </c>
      <c r="V45">
        <v>21355</v>
      </c>
      <c r="W45">
        <v>21506</v>
      </c>
      <c r="X45">
        <v>21465</v>
      </c>
      <c r="Y45">
        <v>21462</v>
      </c>
      <c r="Z45">
        <v>21405</v>
      </c>
      <c r="AA45">
        <v>21544</v>
      </c>
      <c r="AB45">
        <v>21511</v>
      </c>
      <c r="AC45">
        <v>21374</v>
      </c>
      <c r="AD45">
        <v>21221</v>
      </c>
      <c r="AE45">
        <v>21195</v>
      </c>
      <c r="AF45">
        <v>21092</v>
      </c>
      <c r="AG45">
        <v>21187</v>
      </c>
      <c r="AH45">
        <v>21172</v>
      </c>
      <c r="AI45">
        <v>20885</v>
      </c>
      <c r="AJ45">
        <v>21018</v>
      </c>
      <c r="AK45">
        <v>21019</v>
      </c>
      <c r="AL45">
        <v>20801</v>
      </c>
      <c r="AM45">
        <v>20885</v>
      </c>
      <c r="AN45">
        <v>20752</v>
      </c>
      <c r="AO45">
        <v>20738</v>
      </c>
      <c r="AP45">
        <v>20623</v>
      </c>
      <c r="AQ45">
        <v>20511</v>
      </c>
      <c r="AR45">
        <v>20383</v>
      </c>
      <c r="AS45">
        <v>20354</v>
      </c>
      <c r="AT45">
        <v>20238</v>
      </c>
      <c r="AU45">
        <v>20177</v>
      </c>
      <c r="AV45">
        <v>19981</v>
      </c>
      <c r="AW45">
        <v>19962</v>
      </c>
      <c r="AX45">
        <v>19783</v>
      </c>
      <c r="AY45">
        <v>19822</v>
      </c>
      <c r="AZ45">
        <v>19828</v>
      </c>
      <c r="BA45">
        <v>19617</v>
      </c>
      <c r="BB45">
        <v>19443</v>
      </c>
      <c r="BC45">
        <v>19432</v>
      </c>
      <c r="BD45">
        <v>19161</v>
      </c>
      <c r="BE45">
        <v>19051</v>
      </c>
      <c r="BF45">
        <v>19163</v>
      </c>
      <c r="BG45">
        <v>18900</v>
      </c>
      <c r="BH45">
        <v>18863</v>
      </c>
      <c r="BI45">
        <v>18988</v>
      </c>
      <c r="BJ45">
        <v>18800</v>
      </c>
      <c r="BK45">
        <v>18615</v>
      </c>
      <c r="BL45">
        <v>18591</v>
      </c>
      <c r="BM45">
        <v>18502</v>
      </c>
    </row>
    <row r="46" spans="1:65" x14ac:dyDescent="0.3">
      <c r="A46" s="4" t="s">
        <v>87</v>
      </c>
      <c r="B46">
        <v>10772</v>
      </c>
      <c r="C46">
        <v>10677</v>
      </c>
      <c r="D46">
        <v>10750</v>
      </c>
      <c r="E46">
        <v>10695</v>
      </c>
      <c r="F46">
        <v>10640</v>
      </c>
      <c r="G46">
        <v>10537</v>
      </c>
      <c r="H46">
        <v>10614</v>
      </c>
      <c r="I46">
        <v>10546</v>
      </c>
      <c r="J46">
        <v>10476</v>
      </c>
      <c r="K46">
        <v>10459</v>
      </c>
      <c r="L46">
        <v>10385</v>
      </c>
      <c r="M46">
        <v>10353</v>
      </c>
      <c r="N46">
        <v>10201</v>
      </c>
      <c r="O46">
        <v>10207</v>
      </c>
      <c r="P46">
        <v>10212</v>
      </c>
      <c r="Q46">
        <v>10200</v>
      </c>
      <c r="R46">
        <v>10137</v>
      </c>
      <c r="S46">
        <v>10126</v>
      </c>
      <c r="T46">
        <v>10162</v>
      </c>
      <c r="U46">
        <v>10206</v>
      </c>
      <c r="V46">
        <v>10164</v>
      </c>
      <c r="W46">
        <v>10273</v>
      </c>
      <c r="X46">
        <v>10349</v>
      </c>
      <c r="Y46">
        <v>10349</v>
      </c>
      <c r="Z46">
        <v>10366</v>
      </c>
      <c r="AA46">
        <v>10462</v>
      </c>
      <c r="AB46">
        <v>10532</v>
      </c>
      <c r="AC46">
        <v>10537</v>
      </c>
      <c r="AD46">
        <v>10596</v>
      </c>
      <c r="AE46">
        <v>10607</v>
      </c>
      <c r="AF46">
        <v>10582</v>
      </c>
      <c r="AG46">
        <v>10694</v>
      </c>
      <c r="AH46">
        <v>10671</v>
      </c>
      <c r="AI46">
        <v>10663</v>
      </c>
      <c r="AJ46">
        <v>10778</v>
      </c>
      <c r="AK46">
        <v>10734</v>
      </c>
      <c r="AL46">
        <v>10665</v>
      </c>
      <c r="AM46">
        <v>10787</v>
      </c>
      <c r="AN46">
        <v>10655</v>
      </c>
      <c r="AO46">
        <v>10744</v>
      </c>
      <c r="AP46">
        <v>10810</v>
      </c>
      <c r="AQ46">
        <v>10694</v>
      </c>
      <c r="AR46">
        <v>10715</v>
      </c>
      <c r="AS46">
        <v>10699</v>
      </c>
      <c r="AT46">
        <v>10702</v>
      </c>
      <c r="AU46">
        <v>10702</v>
      </c>
      <c r="AV46">
        <v>10672</v>
      </c>
      <c r="AW46">
        <v>10695</v>
      </c>
      <c r="AX46">
        <v>10638</v>
      </c>
      <c r="AY46">
        <v>10613</v>
      </c>
      <c r="AZ46">
        <v>10673</v>
      </c>
      <c r="BA46">
        <v>10653</v>
      </c>
      <c r="BB46">
        <v>10640</v>
      </c>
      <c r="BC46">
        <v>10744</v>
      </c>
      <c r="BD46">
        <v>10649</v>
      </c>
      <c r="BE46">
        <v>10615</v>
      </c>
      <c r="BF46">
        <v>10702</v>
      </c>
      <c r="BG46">
        <v>10632</v>
      </c>
      <c r="BH46">
        <v>10582</v>
      </c>
      <c r="BI46">
        <v>10557</v>
      </c>
      <c r="BJ46">
        <v>10615</v>
      </c>
      <c r="BK46">
        <v>10500</v>
      </c>
      <c r="BL46">
        <v>10573</v>
      </c>
      <c r="BM46">
        <v>10680</v>
      </c>
    </row>
    <row r="47" spans="1:65" x14ac:dyDescent="0.3">
      <c r="A47" s="4" t="s">
        <v>88</v>
      </c>
      <c r="B47">
        <v>43383</v>
      </c>
      <c r="C47">
        <v>43186</v>
      </c>
      <c r="D47">
        <v>42970</v>
      </c>
      <c r="E47">
        <v>43425</v>
      </c>
      <c r="F47">
        <v>43151</v>
      </c>
      <c r="G47">
        <v>42905</v>
      </c>
      <c r="H47">
        <v>42815</v>
      </c>
      <c r="I47">
        <v>42676</v>
      </c>
      <c r="J47">
        <v>42935</v>
      </c>
      <c r="K47">
        <v>42652</v>
      </c>
      <c r="L47">
        <v>42658</v>
      </c>
      <c r="M47">
        <v>42655</v>
      </c>
      <c r="N47">
        <v>42549</v>
      </c>
      <c r="O47">
        <v>42041</v>
      </c>
      <c r="P47">
        <v>41917</v>
      </c>
      <c r="Q47">
        <v>42033</v>
      </c>
      <c r="R47">
        <v>41916</v>
      </c>
      <c r="S47">
        <v>41407</v>
      </c>
      <c r="T47">
        <v>41680</v>
      </c>
      <c r="U47">
        <v>41735</v>
      </c>
      <c r="V47">
        <v>41628</v>
      </c>
      <c r="W47">
        <v>41718</v>
      </c>
      <c r="X47">
        <v>41774</v>
      </c>
      <c r="Y47">
        <v>41601</v>
      </c>
      <c r="Z47">
        <v>41519</v>
      </c>
      <c r="AA47">
        <v>41597</v>
      </c>
      <c r="AB47">
        <v>41787</v>
      </c>
      <c r="AC47">
        <v>41544</v>
      </c>
      <c r="AD47">
        <v>41295</v>
      </c>
      <c r="AE47">
        <v>41415</v>
      </c>
      <c r="AF47">
        <v>40970</v>
      </c>
      <c r="AG47">
        <v>41289</v>
      </c>
      <c r="AH47">
        <v>40965</v>
      </c>
      <c r="AI47">
        <v>41018</v>
      </c>
      <c r="AJ47">
        <v>41343</v>
      </c>
      <c r="AK47">
        <v>41094</v>
      </c>
      <c r="AL47">
        <v>40992</v>
      </c>
      <c r="AM47">
        <v>41431</v>
      </c>
      <c r="AN47">
        <v>41092</v>
      </c>
      <c r="AO47">
        <v>41005</v>
      </c>
      <c r="AP47">
        <v>41040</v>
      </c>
      <c r="AQ47">
        <v>40842</v>
      </c>
      <c r="AR47">
        <v>41059</v>
      </c>
      <c r="AS47">
        <v>41196</v>
      </c>
      <c r="AT47">
        <v>41002</v>
      </c>
      <c r="AU47">
        <v>41008</v>
      </c>
      <c r="AV47">
        <v>40920</v>
      </c>
      <c r="AW47">
        <v>41296</v>
      </c>
      <c r="AX47">
        <v>40948</v>
      </c>
      <c r="AY47">
        <v>40531</v>
      </c>
      <c r="AZ47">
        <v>40465</v>
      </c>
      <c r="BA47">
        <v>40980</v>
      </c>
      <c r="BB47">
        <v>41123</v>
      </c>
      <c r="BC47">
        <v>41288</v>
      </c>
      <c r="BD47">
        <v>40563</v>
      </c>
      <c r="BE47">
        <v>40428</v>
      </c>
      <c r="BF47">
        <v>40770</v>
      </c>
      <c r="BG47">
        <v>40408</v>
      </c>
      <c r="BH47">
        <v>40142</v>
      </c>
      <c r="BI47">
        <v>39731</v>
      </c>
      <c r="BJ47">
        <v>39810</v>
      </c>
      <c r="BK47">
        <v>39988</v>
      </c>
      <c r="BL47">
        <v>40252</v>
      </c>
      <c r="BM47">
        <v>40607</v>
      </c>
    </row>
    <row r="48" spans="1:65" x14ac:dyDescent="0.3">
      <c r="B48">
        <v>0</v>
      </c>
      <c r="C48">
        <v>3.8</v>
      </c>
      <c r="D48">
        <v>7.6</v>
      </c>
      <c r="E48">
        <v>11.4</v>
      </c>
      <c r="F48">
        <v>15.1</v>
      </c>
      <c r="G48">
        <v>18.899999999999999</v>
      </c>
      <c r="H48">
        <v>22.7</v>
      </c>
      <c r="I48">
        <v>26.5</v>
      </c>
      <c r="J48">
        <v>30.3</v>
      </c>
      <c r="K48">
        <v>34.1</v>
      </c>
      <c r="L48">
        <v>37.9</v>
      </c>
      <c r="M48">
        <v>41.6</v>
      </c>
      <c r="N48">
        <v>45.4</v>
      </c>
      <c r="O48">
        <v>49.2</v>
      </c>
      <c r="P48">
        <v>53</v>
      </c>
      <c r="Q48">
        <v>56.8</v>
      </c>
      <c r="R48">
        <v>60.6</v>
      </c>
      <c r="S48">
        <v>64.400000000000006</v>
      </c>
      <c r="T48">
        <v>68.099999999999994</v>
      </c>
      <c r="U48">
        <v>71.900000000000006</v>
      </c>
      <c r="V48">
        <v>75.7</v>
      </c>
      <c r="W48">
        <v>79.5</v>
      </c>
      <c r="X48">
        <v>83.3</v>
      </c>
      <c r="Y48">
        <v>87.1</v>
      </c>
      <c r="Z48">
        <v>90.9</v>
      </c>
      <c r="AA48">
        <v>94.7</v>
      </c>
      <c r="AB48">
        <v>98.4</v>
      </c>
      <c r="AC48">
        <v>102.2</v>
      </c>
      <c r="AD48">
        <v>106</v>
      </c>
      <c r="AE48">
        <v>109.8</v>
      </c>
      <c r="AF48">
        <v>113.6</v>
      </c>
      <c r="AG48">
        <v>117.4</v>
      </c>
      <c r="AH48">
        <v>121.2</v>
      </c>
      <c r="AI48">
        <v>124.9</v>
      </c>
      <c r="AJ48">
        <v>128.69999999999999</v>
      </c>
      <c r="AK48">
        <v>132.5</v>
      </c>
      <c r="AL48">
        <v>136.30000000000001</v>
      </c>
      <c r="AM48">
        <v>140.1</v>
      </c>
      <c r="AN48">
        <v>143.9</v>
      </c>
      <c r="AO48">
        <v>147.69999999999999</v>
      </c>
      <c r="AP48">
        <v>151.4</v>
      </c>
      <c r="AQ48">
        <v>155.19999999999999</v>
      </c>
      <c r="AR48">
        <v>159</v>
      </c>
      <c r="AS48">
        <v>162.80000000000001</v>
      </c>
      <c r="AT48">
        <v>166.6</v>
      </c>
      <c r="AU48">
        <v>170.4</v>
      </c>
      <c r="AV48">
        <v>174.2</v>
      </c>
      <c r="AW48">
        <v>177.9</v>
      </c>
      <c r="AX48">
        <v>181.7</v>
      </c>
      <c r="AY48">
        <v>185.5</v>
      </c>
      <c r="AZ48">
        <v>189.3</v>
      </c>
      <c r="BA48">
        <v>193.1</v>
      </c>
      <c r="BB48">
        <v>196.9</v>
      </c>
      <c r="BC48">
        <v>200.7</v>
      </c>
      <c r="BD48">
        <v>204.4</v>
      </c>
      <c r="BE48">
        <v>208.2</v>
      </c>
      <c r="BF48">
        <v>212</v>
      </c>
      <c r="BG48">
        <v>215.8</v>
      </c>
      <c r="BH48">
        <v>219.6</v>
      </c>
      <c r="BI48">
        <v>223.4</v>
      </c>
      <c r="BJ48">
        <v>227.2</v>
      </c>
      <c r="BK48">
        <v>230.9</v>
      </c>
      <c r="BL48">
        <v>234.7</v>
      </c>
      <c r="BM48">
        <v>238.5</v>
      </c>
    </row>
    <row r="49" spans="1:65" ht="15.6" x14ac:dyDescent="0.35">
      <c r="A49" s="7" t="s">
        <v>91</v>
      </c>
      <c r="B49">
        <f>(B45-B44)/B44</f>
        <v>1.4129956999522217</v>
      </c>
      <c r="C49">
        <f t="shared" ref="C49:BM49" si="0">(C45-C44)/C44</f>
        <v>1.403093281778637</v>
      </c>
      <c r="D49">
        <f t="shared" si="0"/>
        <v>1.4221066064592127</v>
      </c>
      <c r="E49">
        <f t="shared" si="0"/>
        <v>1.3901125795398923</v>
      </c>
      <c r="F49">
        <f t="shared" si="0"/>
        <v>1.4033844942935851</v>
      </c>
      <c r="G49">
        <f t="shared" si="0"/>
        <v>1.4243270189431705</v>
      </c>
      <c r="H49">
        <f t="shared" si="0"/>
        <v>1.4134005037783375</v>
      </c>
      <c r="I49">
        <f t="shared" si="0"/>
        <v>1.3851739788199697</v>
      </c>
      <c r="J49">
        <f t="shared" si="0"/>
        <v>1.353543465167637</v>
      </c>
      <c r="K49">
        <f t="shared" si="0"/>
        <v>1.3328310227044404</v>
      </c>
      <c r="L49">
        <f t="shared" si="0"/>
        <v>1.3249571096982542</v>
      </c>
      <c r="M49">
        <f t="shared" si="0"/>
        <v>1.2958341718655666</v>
      </c>
      <c r="N49">
        <f t="shared" si="0"/>
        <v>1.2575742325113235</v>
      </c>
      <c r="O49">
        <f t="shared" si="0"/>
        <v>1.2236012411170054</v>
      </c>
      <c r="P49">
        <f t="shared" si="0"/>
        <v>1.1936416184971099</v>
      </c>
      <c r="Q49">
        <f t="shared" si="0"/>
        <v>1.1948814977096196</v>
      </c>
      <c r="R49">
        <f t="shared" si="0"/>
        <v>1.1742469579094355</v>
      </c>
      <c r="S49">
        <f t="shared" si="0"/>
        <v>1.1512327119663259</v>
      </c>
      <c r="T49">
        <f t="shared" si="0"/>
        <v>1.1458867626750839</v>
      </c>
      <c r="U49">
        <f t="shared" si="0"/>
        <v>1.1086785784409974</v>
      </c>
      <c r="V49">
        <f t="shared" si="0"/>
        <v>1.0946542422756254</v>
      </c>
      <c r="W49">
        <f t="shared" si="0"/>
        <v>1.0985558157689306</v>
      </c>
      <c r="X49">
        <f t="shared" si="0"/>
        <v>1.0862085722616386</v>
      </c>
      <c r="Y49">
        <f t="shared" si="0"/>
        <v>1.0810627363521768</v>
      </c>
      <c r="Z49">
        <f t="shared" si="0"/>
        <v>1.0735251380412671</v>
      </c>
      <c r="AA49">
        <f t="shared" si="0"/>
        <v>1.0639969342785975</v>
      </c>
      <c r="AB49">
        <f t="shared" si="0"/>
        <v>1.0500333555703802</v>
      </c>
      <c r="AC49">
        <f t="shared" si="0"/>
        <v>1.0439896719900545</v>
      </c>
      <c r="AD49">
        <f t="shared" si="0"/>
        <v>1.0183564770781814</v>
      </c>
      <c r="AE49">
        <f t="shared" si="0"/>
        <v>1.0245486674945077</v>
      </c>
      <c r="AF49">
        <f t="shared" si="0"/>
        <v>1.0087619047619047</v>
      </c>
      <c r="AG49">
        <f t="shared" si="0"/>
        <v>1.0044465468306527</v>
      </c>
      <c r="AH49">
        <f t="shared" si="0"/>
        <v>1.0208074830581273</v>
      </c>
      <c r="AI49">
        <f t="shared" si="0"/>
        <v>0.9960814298002485</v>
      </c>
      <c r="AJ49">
        <f t="shared" si="0"/>
        <v>1.0059171597633136</v>
      </c>
      <c r="AK49">
        <f t="shared" si="0"/>
        <v>1.0033358749523447</v>
      </c>
      <c r="AL49">
        <f t="shared" si="0"/>
        <v>0.99109792284866471</v>
      </c>
      <c r="AM49">
        <f t="shared" si="0"/>
        <v>0.98262768179229165</v>
      </c>
      <c r="AN49">
        <f t="shared" si="0"/>
        <v>0.98261201872551829</v>
      </c>
      <c r="AO49">
        <f t="shared" si="0"/>
        <v>0.97279299847792999</v>
      </c>
      <c r="AP49">
        <f t="shared" si="0"/>
        <v>0.95071888006053729</v>
      </c>
      <c r="AQ49">
        <f t="shared" si="0"/>
        <v>0.96277511961722484</v>
      </c>
      <c r="AR49">
        <f t="shared" si="0"/>
        <v>0.9403141361256544</v>
      </c>
      <c r="AS49">
        <f t="shared" si="0"/>
        <v>0.93203607024205026</v>
      </c>
      <c r="AT49">
        <f t="shared" si="0"/>
        <v>0.93516924842226046</v>
      </c>
      <c r="AU49">
        <f t="shared" si="0"/>
        <v>0.9425243092326947</v>
      </c>
      <c r="AV49">
        <f t="shared" si="0"/>
        <v>0.9203267659778952</v>
      </c>
      <c r="AW49">
        <f t="shared" si="0"/>
        <v>0.90531640736852148</v>
      </c>
      <c r="AX49">
        <f t="shared" si="0"/>
        <v>0.88769083969465645</v>
      </c>
      <c r="AY49">
        <f t="shared" si="0"/>
        <v>0.89231503579952265</v>
      </c>
      <c r="AZ49">
        <f t="shared" si="0"/>
        <v>0.88479087452471483</v>
      </c>
      <c r="BA49">
        <f t="shared" si="0"/>
        <v>0.86881966276078881</v>
      </c>
      <c r="BB49">
        <f t="shared" si="0"/>
        <v>0.8621779523034192</v>
      </c>
      <c r="BC49">
        <f t="shared" si="0"/>
        <v>0.84556937980814895</v>
      </c>
      <c r="BD49">
        <f t="shared" si="0"/>
        <v>0.84862518089725036</v>
      </c>
      <c r="BE49">
        <f t="shared" si="0"/>
        <v>0.8284864190421346</v>
      </c>
      <c r="BF49">
        <f t="shared" si="0"/>
        <v>0.81657029102284573</v>
      </c>
      <c r="BG49">
        <f t="shared" si="0"/>
        <v>0.80722891566265065</v>
      </c>
      <c r="BH49">
        <f t="shared" si="0"/>
        <v>0.82005017367811661</v>
      </c>
      <c r="BI49">
        <f t="shared" si="0"/>
        <v>0.8254181888098443</v>
      </c>
      <c r="BJ49">
        <f t="shared" si="0"/>
        <v>0.81100086696850016</v>
      </c>
      <c r="BK49">
        <f t="shared" si="0"/>
        <v>0.80798368298368295</v>
      </c>
      <c r="BL49">
        <f t="shared" si="0"/>
        <v>0.79242190512919397</v>
      </c>
      <c r="BM49">
        <f t="shared" si="0"/>
        <v>0.77511273145927273</v>
      </c>
    </row>
    <row r="50" spans="1:65" ht="15.6" x14ac:dyDescent="0.35">
      <c r="A50" s="7" t="s">
        <v>92</v>
      </c>
      <c r="B50">
        <f>(B47-B46)/B46</f>
        <v>3.0273858150761233</v>
      </c>
      <c r="C50">
        <f t="shared" ref="C50:BM50" si="1">(C47-C46)/C46</f>
        <v>3.0447691299054043</v>
      </c>
      <c r="D50">
        <f t="shared" si="1"/>
        <v>2.9972093023255812</v>
      </c>
      <c r="E50">
        <f t="shared" si="1"/>
        <v>3.0603085553997196</v>
      </c>
      <c r="F50">
        <f t="shared" si="1"/>
        <v>3.0555451127819548</v>
      </c>
      <c r="G50">
        <f t="shared" si="1"/>
        <v>3.0718420802885071</v>
      </c>
      <c r="H50">
        <f t="shared" si="1"/>
        <v>3.033823252308272</v>
      </c>
      <c r="I50">
        <f t="shared" si="1"/>
        <v>3.0466527593400343</v>
      </c>
      <c r="J50">
        <f t="shared" si="1"/>
        <v>3.0984154257350132</v>
      </c>
      <c r="K50">
        <f t="shared" si="1"/>
        <v>3.0780189310641553</v>
      </c>
      <c r="L50">
        <f t="shared" si="1"/>
        <v>3.1076552720269621</v>
      </c>
      <c r="M50">
        <f t="shared" si="1"/>
        <v>3.1200618178305803</v>
      </c>
      <c r="N50">
        <f t="shared" si="1"/>
        <v>3.1710616606215076</v>
      </c>
      <c r="O50">
        <f t="shared" si="1"/>
        <v>3.1188400117566375</v>
      </c>
      <c r="P50">
        <f t="shared" si="1"/>
        <v>3.1046807677242461</v>
      </c>
      <c r="Q50">
        <f t="shared" si="1"/>
        <v>3.1208823529411767</v>
      </c>
      <c r="R50">
        <f t="shared" si="1"/>
        <v>3.1349511689849066</v>
      </c>
      <c r="S50">
        <f t="shared" si="1"/>
        <v>3.0891763776417145</v>
      </c>
      <c r="T50">
        <f t="shared" si="1"/>
        <v>3.1015548120448733</v>
      </c>
      <c r="U50">
        <f t="shared" si="1"/>
        <v>3.0892612188908486</v>
      </c>
      <c r="V50">
        <f t="shared" si="1"/>
        <v>3.0956316410861864</v>
      </c>
      <c r="W50">
        <f t="shared" si="1"/>
        <v>3.0609364353158766</v>
      </c>
      <c r="X50">
        <f t="shared" si="1"/>
        <v>3.0365252681418493</v>
      </c>
      <c r="Y50">
        <f t="shared" si="1"/>
        <v>3.0198086771668762</v>
      </c>
      <c r="Z50">
        <f t="shared" si="1"/>
        <v>3.0053058074474244</v>
      </c>
      <c r="AA50">
        <f t="shared" si="1"/>
        <v>2.9760084113936149</v>
      </c>
      <c r="AB50">
        <f t="shared" si="1"/>
        <v>2.9676224838587162</v>
      </c>
      <c r="AC50">
        <f t="shared" si="1"/>
        <v>2.9426781816456296</v>
      </c>
      <c r="AD50">
        <f t="shared" si="1"/>
        <v>2.8972253680634203</v>
      </c>
      <c r="AE50">
        <f t="shared" si="1"/>
        <v>2.904497030263034</v>
      </c>
      <c r="AF50">
        <f t="shared" si="1"/>
        <v>2.8716688716688719</v>
      </c>
      <c r="AG50">
        <f t="shared" si="1"/>
        <v>2.8609500654572657</v>
      </c>
      <c r="AH50">
        <f t="shared" si="1"/>
        <v>2.8389091931402866</v>
      </c>
      <c r="AI50">
        <f t="shared" si="1"/>
        <v>2.8467598236893932</v>
      </c>
      <c r="AJ50">
        <f t="shared" si="1"/>
        <v>2.8358693635182779</v>
      </c>
      <c r="AK50">
        <f t="shared" si="1"/>
        <v>2.8283957518166574</v>
      </c>
      <c r="AL50">
        <f t="shared" si="1"/>
        <v>2.8436005625879042</v>
      </c>
      <c r="AM50">
        <f t="shared" si="1"/>
        <v>2.8408269212941502</v>
      </c>
      <c r="AN50">
        <f t="shared" si="1"/>
        <v>2.8565931487564522</v>
      </c>
      <c r="AO50">
        <f t="shared" si="1"/>
        <v>2.8165487714072972</v>
      </c>
      <c r="AP50">
        <f t="shared" si="1"/>
        <v>2.7964847363552265</v>
      </c>
      <c r="AQ50">
        <f t="shared" si="1"/>
        <v>2.8191509257527585</v>
      </c>
      <c r="AR50">
        <f t="shared" si="1"/>
        <v>2.8319178721418572</v>
      </c>
      <c r="AS50">
        <f t="shared" si="1"/>
        <v>2.8504533133937753</v>
      </c>
      <c r="AT50">
        <f t="shared" si="1"/>
        <v>2.8312464959820596</v>
      </c>
      <c r="AU50">
        <f t="shared" si="1"/>
        <v>2.8318071388525508</v>
      </c>
      <c r="AV50">
        <f t="shared" si="1"/>
        <v>2.8343328335832085</v>
      </c>
      <c r="AW50">
        <f t="shared" si="1"/>
        <v>2.8612435717625058</v>
      </c>
      <c r="AX50">
        <f t="shared" si="1"/>
        <v>2.8492197781537882</v>
      </c>
      <c r="AY50">
        <f t="shared" si="1"/>
        <v>2.8189955714689532</v>
      </c>
      <c r="AZ50">
        <f t="shared" si="1"/>
        <v>2.7913426403073176</v>
      </c>
      <c r="BA50">
        <f t="shared" si="1"/>
        <v>2.8468037172627429</v>
      </c>
      <c r="BB50">
        <f t="shared" si="1"/>
        <v>2.8649436090225562</v>
      </c>
      <c r="BC50">
        <f t="shared" si="1"/>
        <v>2.8428890543559198</v>
      </c>
      <c r="BD50">
        <f t="shared" si="1"/>
        <v>2.8090900554042633</v>
      </c>
      <c r="BE50">
        <f t="shared" si="1"/>
        <v>2.8085727743758833</v>
      </c>
      <c r="BF50">
        <f t="shared" si="1"/>
        <v>2.8095683049897215</v>
      </c>
      <c r="BG50">
        <f t="shared" si="1"/>
        <v>2.8006019563581641</v>
      </c>
      <c r="BH50">
        <f t="shared" si="1"/>
        <v>2.7934227934227933</v>
      </c>
      <c r="BI50">
        <f t="shared" si="1"/>
        <v>2.7634744719143698</v>
      </c>
      <c r="BJ50">
        <f t="shared" si="1"/>
        <v>2.7503532736693357</v>
      </c>
      <c r="BK50">
        <f t="shared" si="1"/>
        <v>2.8083809523809524</v>
      </c>
      <c r="BL50">
        <f t="shared" si="1"/>
        <v>2.8070557079353069</v>
      </c>
      <c r="BM50">
        <f t="shared" si="1"/>
        <v>2.8021535580524346</v>
      </c>
    </row>
    <row r="52" spans="1:65" x14ac:dyDescent="0.3">
      <c r="A52" t="s">
        <v>51</v>
      </c>
      <c r="B52" s="1" t="s">
        <v>90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52"/>
  <sheetViews>
    <sheetView topLeftCell="A28" zoomScale="53" workbookViewId="0">
      <selection activeCell="A48" sqref="A48:BS50"/>
    </sheetView>
  </sheetViews>
  <sheetFormatPr baseColWidth="10" defaultRowHeight="14.4" x14ac:dyDescent="0.3"/>
  <sheetData>
    <row r="1" spans="1:12" x14ac:dyDescent="0.3">
      <c r="A1" t="s">
        <v>0</v>
      </c>
      <c r="E1" t="s">
        <v>1</v>
      </c>
    </row>
    <row r="2" spans="1:12" x14ac:dyDescent="0.3">
      <c r="A2" t="s">
        <v>2</v>
      </c>
      <c r="E2" t="s">
        <v>3</v>
      </c>
      <c r="I2" t="s">
        <v>4</v>
      </c>
    </row>
    <row r="3" spans="1:12" x14ac:dyDescent="0.3">
      <c r="A3" t="s">
        <v>5</v>
      </c>
      <c r="E3" t="s">
        <v>6</v>
      </c>
    </row>
    <row r="5" spans="1:12" x14ac:dyDescent="0.3">
      <c r="A5" t="s">
        <v>7</v>
      </c>
      <c r="B5" t="s">
        <v>8</v>
      </c>
    </row>
    <row r="6" spans="1:12" x14ac:dyDescent="0.3">
      <c r="A6" t="s">
        <v>9</v>
      </c>
      <c r="B6" s="1" t="s">
        <v>10</v>
      </c>
    </row>
    <row r="9" spans="1:12" x14ac:dyDescent="0.3">
      <c r="A9" t="s">
        <v>11</v>
      </c>
      <c r="E9" t="s">
        <v>12</v>
      </c>
    </row>
    <row r="10" spans="1:12" x14ac:dyDescent="0.3">
      <c r="A10" t="s">
        <v>13</v>
      </c>
      <c r="E10" t="s">
        <v>14</v>
      </c>
    </row>
    <row r="11" spans="1:12" x14ac:dyDescent="0.3">
      <c r="A11" t="s">
        <v>15</v>
      </c>
      <c r="E11" t="s">
        <v>16</v>
      </c>
    </row>
    <row r="12" spans="1:12" x14ac:dyDescent="0.3">
      <c r="A12" t="s">
        <v>17</v>
      </c>
    </row>
    <row r="14" spans="1:12" x14ac:dyDescent="0.3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9" spans="1:6" x14ac:dyDescent="0.3">
      <c r="A19" t="s">
        <v>21</v>
      </c>
    </row>
    <row r="20" spans="1:6" x14ac:dyDescent="0.3">
      <c r="A20" t="s">
        <v>22</v>
      </c>
    </row>
    <row r="21" spans="1:6" x14ac:dyDescent="0.3">
      <c r="A21" t="s">
        <v>23</v>
      </c>
      <c r="E21" s="3">
        <v>2.7777777777777779E-3</v>
      </c>
    </row>
    <row r="22" spans="1:6" x14ac:dyDescent="0.3">
      <c r="A22" t="s">
        <v>24</v>
      </c>
      <c r="E22" s="3">
        <v>2.3148148148148147E-5</v>
      </c>
    </row>
    <row r="23" spans="1:6" x14ac:dyDescent="0.3">
      <c r="A23" t="s">
        <v>25</v>
      </c>
      <c r="E23" t="s">
        <v>26</v>
      </c>
    </row>
    <row r="24" spans="1:6" x14ac:dyDescent="0.3">
      <c r="A24" t="s">
        <v>27</v>
      </c>
      <c r="E24">
        <v>485</v>
      </c>
      <c r="F24" t="s">
        <v>28</v>
      </c>
    </row>
    <row r="25" spans="1:6" x14ac:dyDescent="0.3">
      <c r="A25" t="s">
        <v>29</v>
      </c>
      <c r="E25">
        <v>535</v>
      </c>
      <c r="F25" t="s">
        <v>28</v>
      </c>
    </row>
    <row r="26" spans="1:6" x14ac:dyDescent="0.3">
      <c r="A26" t="s">
        <v>30</v>
      </c>
      <c r="E26">
        <v>20</v>
      </c>
      <c r="F26" t="s">
        <v>28</v>
      </c>
    </row>
    <row r="27" spans="1:6" x14ac:dyDescent="0.3">
      <c r="A27" t="s">
        <v>31</v>
      </c>
      <c r="E27">
        <v>25</v>
      </c>
      <c r="F27" t="s">
        <v>28</v>
      </c>
    </row>
    <row r="28" spans="1:6" x14ac:dyDescent="0.3">
      <c r="A28" t="s">
        <v>32</v>
      </c>
      <c r="E28">
        <v>90</v>
      </c>
      <c r="F28" t="s">
        <v>33</v>
      </c>
    </row>
    <row r="29" spans="1:6" x14ac:dyDescent="0.3">
      <c r="A29" t="s">
        <v>34</v>
      </c>
      <c r="E29">
        <v>25</v>
      </c>
    </row>
    <row r="30" spans="1:6" x14ac:dyDescent="0.3">
      <c r="A30" t="s">
        <v>35</v>
      </c>
      <c r="E30">
        <v>20</v>
      </c>
      <c r="F30" t="s">
        <v>36</v>
      </c>
    </row>
    <row r="31" spans="1:6" x14ac:dyDescent="0.3">
      <c r="A31" t="s">
        <v>37</v>
      </c>
      <c r="E31">
        <v>0</v>
      </c>
      <c r="F31" t="s">
        <v>36</v>
      </c>
    </row>
    <row r="32" spans="1:6" x14ac:dyDescent="0.3">
      <c r="A32" t="s">
        <v>38</v>
      </c>
      <c r="E32">
        <v>0</v>
      </c>
      <c r="F32" t="s">
        <v>39</v>
      </c>
    </row>
    <row r="33" spans="1:71" x14ac:dyDescent="0.3">
      <c r="A33" t="s">
        <v>40</v>
      </c>
      <c r="E33" t="s">
        <v>41</v>
      </c>
    </row>
    <row r="34" spans="1:71" x14ac:dyDescent="0.3">
      <c r="A34" t="s">
        <v>42</v>
      </c>
      <c r="B34" s="1" t="s">
        <v>43</v>
      </c>
    </row>
    <row r="36" spans="1:71" x14ac:dyDescent="0.3">
      <c r="A36" s="5" t="s">
        <v>53</v>
      </c>
      <c r="B36" s="5" t="s">
        <v>54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71" x14ac:dyDescent="0.3">
      <c r="A37" s="5"/>
      <c r="B37" s="5" t="s">
        <v>55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71" x14ac:dyDescent="0.3">
      <c r="A38" s="5"/>
      <c r="B38" s="5" t="s">
        <v>56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71" x14ac:dyDescent="0.3">
      <c r="A39" s="5"/>
      <c r="B39" s="5" t="s">
        <v>57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1" spans="1:71" x14ac:dyDescent="0.3">
      <c r="A41" s="4" t="s">
        <v>44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</row>
    <row r="42" spans="1:71" x14ac:dyDescent="0.3">
      <c r="A42" s="4" t="s">
        <v>45</v>
      </c>
      <c r="B42">
        <v>0</v>
      </c>
      <c r="C42">
        <v>3.5</v>
      </c>
      <c r="D42">
        <v>6.9</v>
      </c>
      <c r="E42">
        <v>10.4</v>
      </c>
      <c r="F42">
        <v>13.8</v>
      </c>
      <c r="G42">
        <v>17.2</v>
      </c>
      <c r="H42">
        <v>20.7</v>
      </c>
      <c r="I42">
        <v>24.1</v>
      </c>
      <c r="J42">
        <v>27.6</v>
      </c>
      <c r="K42">
        <v>31</v>
      </c>
      <c r="L42">
        <v>34.5</v>
      </c>
      <c r="M42">
        <v>37.9</v>
      </c>
      <c r="N42">
        <v>41.3</v>
      </c>
      <c r="O42">
        <v>44.8</v>
      </c>
      <c r="P42">
        <v>48.2</v>
      </c>
      <c r="Q42">
        <v>51.7</v>
      </c>
      <c r="R42">
        <v>55.1</v>
      </c>
      <c r="S42">
        <v>58.6</v>
      </c>
      <c r="T42">
        <v>62</v>
      </c>
      <c r="U42">
        <v>65.400000000000006</v>
      </c>
      <c r="V42">
        <v>68.900000000000006</v>
      </c>
      <c r="W42">
        <v>72.3</v>
      </c>
      <c r="X42">
        <v>75.7</v>
      </c>
      <c r="Y42">
        <v>79.2</v>
      </c>
      <c r="Z42">
        <v>82.6</v>
      </c>
      <c r="AA42">
        <v>86.1</v>
      </c>
      <c r="AB42">
        <v>89.5</v>
      </c>
      <c r="AC42">
        <v>92.9</v>
      </c>
      <c r="AD42">
        <v>96.4</v>
      </c>
      <c r="AE42">
        <v>99.8</v>
      </c>
      <c r="AF42">
        <v>103.3</v>
      </c>
      <c r="AG42">
        <v>106.7</v>
      </c>
      <c r="AH42">
        <v>110.1</v>
      </c>
      <c r="AI42">
        <v>113.6</v>
      </c>
      <c r="AJ42">
        <v>117</v>
      </c>
      <c r="AK42">
        <v>120.4</v>
      </c>
      <c r="AL42">
        <v>123.9</v>
      </c>
      <c r="AM42">
        <v>127.3</v>
      </c>
      <c r="AN42">
        <v>130.80000000000001</v>
      </c>
      <c r="AO42">
        <v>134.19999999999999</v>
      </c>
      <c r="AP42">
        <v>137.6</v>
      </c>
      <c r="AQ42">
        <v>141.1</v>
      </c>
      <c r="AR42">
        <v>144.6</v>
      </c>
      <c r="AS42">
        <v>148</v>
      </c>
      <c r="AT42">
        <v>151.4</v>
      </c>
      <c r="AU42">
        <v>154.9</v>
      </c>
      <c r="AV42">
        <v>158.30000000000001</v>
      </c>
      <c r="AW42">
        <v>161.69999999999999</v>
      </c>
      <c r="AX42">
        <v>165.2</v>
      </c>
      <c r="AY42">
        <v>168.6</v>
      </c>
      <c r="AZ42">
        <v>172.1</v>
      </c>
      <c r="BA42">
        <v>175.5</v>
      </c>
      <c r="BB42">
        <v>178.9</v>
      </c>
      <c r="BC42">
        <v>182.4</v>
      </c>
      <c r="BD42">
        <v>185.8</v>
      </c>
      <c r="BE42">
        <v>189.2</v>
      </c>
      <c r="BF42">
        <v>192.7</v>
      </c>
      <c r="BG42">
        <v>196.1</v>
      </c>
      <c r="BH42">
        <v>199.6</v>
      </c>
      <c r="BI42">
        <v>203</v>
      </c>
      <c r="BJ42">
        <v>206.4</v>
      </c>
      <c r="BK42">
        <v>209.9</v>
      </c>
      <c r="BL42">
        <v>213.3</v>
      </c>
      <c r="BM42">
        <v>216.8</v>
      </c>
      <c r="BN42">
        <v>220.2</v>
      </c>
      <c r="BO42">
        <v>223.7</v>
      </c>
      <c r="BP42">
        <v>227.1</v>
      </c>
      <c r="BQ42">
        <v>230.5</v>
      </c>
      <c r="BR42">
        <v>234</v>
      </c>
      <c r="BS42">
        <v>237.4</v>
      </c>
    </row>
    <row r="43" spans="1:71" x14ac:dyDescent="0.3">
      <c r="A43" s="4" t="s">
        <v>46</v>
      </c>
      <c r="B43" t="s">
        <v>52</v>
      </c>
      <c r="C43" t="s">
        <v>52</v>
      </c>
      <c r="D43" t="s">
        <v>52</v>
      </c>
      <c r="E43" t="s">
        <v>52</v>
      </c>
      <c r="F43" t="s">
        <v>52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52</v>
      </c>
      <c r="AW43" t="s">
        <v>52</v>
      </c>
      <c r="AX43" t="s">
        <v>52</v>
      </c>
      <c r="AY43" t="s">
        <v>52</v>
      </c>
      <c r="AZ43" t="s">
        <v>52</v>
      </c>
      <c r="BA43" t="s">
        <v>52</v>
      </c>
      <c r="BB43" t="s">
        <v>52</v>
      </c>
      <c r="BC43" t="s">
        <v>52</v>
      </c>
      <c r="BD43" t="s">
        <v>52</v>
      </c>
      <c r="BE43" t="s">
        <v>52</v>
      </c>
      <c r="BF43" t="s">
        <v>52</v>
      </c>
      <c r="BG43" t="s">
        <v>52</v>
      </c>
      <c r="BH43" t="s">
        <v>52</v>
      </c>
      <c r="BI43" t="s">
        <v>52</v>
      </c>
      <c r="BJ43" t="s">
        <v>52</v>
      </c>
      <c r="BK43" t="s">
        <v>52</v>
      </c>
      <c r="BL43" t="s">
        <v>52</v>
      </c>
      <c r="BM43" t="s">
        <v>52</v>
      </c>
      <c r="BN43" t="s">
        <v>52</v>
      </c>
      <c r="BO43" t="s">
        <v>52</v>
      </c>
      <c r="BP43" t="s">
        <v>52</v>
      </c>
      <c r="BQ43" t="s">
        <v>52</v>
      </c>
      <c r="BR43" t="s">
        <v>52</v>
      </c>
      <c r="BS43" t="s">
        <v>52</v>
      </c>
    </row>
    <row r="44" spans="1:71" x14ac:dyDescent="0.3">
      <c r="A44" s="4" t="s">
        <v>47</v>
      </c>
      <c r="B44">
        <v>10452</v>
      </c>
      <c r="C44">
        <v>10480</v>
      </c>
      <c r="D44">
        <v>10517</v>
      </c>
      <c r="E44">
        <v>10504</v>
      </c>
      <c r="F44">
        <v>10548</v>
      </c>
      <c r="G44">
        <v>10572</v>
      </c>
      <c r="H44">
        <v>10602</v>
      </c>
      <c r="I44">
        <v>10591</v>
      </c>
      <c r="J44">
        <v>10642</v>
      </c>
      <c r="K44">
        <v>10590</v>
      </c>
      <c r="L44">
        <v>10582</v>
      </c>
      <c r="M44">
        <v>10599</v>
      </c>
      <c r="N44">
        <v>10589</v>
      </c>
      <c r="O44">
        <v>10635</v>
      </c>
      <c r="P44">
        <v>10604</v>
      </c>
      <c r="Q44">
        <v>10633</v>
      </c>
      <c r="R44">
        <v>10600</v>
      </c>
      <c r="S44">
        <v>10693</v>
      </c>
      <c r="T44">
        <v>10557</v>
      </c>
      <c r="U44">
        <v>10543</v>
      </c>
      <c r="V44">
        <v>10495</v>
      </c>
      <c r="W44">
        <v>10567</v>
      </c>
      <c r="X44">
        <v>10529</v>
      </c>
      <c r="Y44">
        <v>10490</v>
      </c>
      <c r="Z44">
        <v>10533</v>
      </c>
      <c r="AA44">
        <v>10583</v>
      </c>
      <c r="AB44">
        <v>10604</v>
      </c>
      <c r="AC44">
        <v>10584</v>
      </c>
      <c r="AD44">
        <v>10448</v>
      </c>
      <c r="AE44">
        <v>10542</v>
      </c>
      <c r="AF44">
        <v>10546</v>
      </c>
      <c r="AG44">
        <v>10492</v>
      </c>
      <c r="AH44">
        <v>10573</v>
      </c>
      <c r="AI44">
        <v>10475</v>
      </c>
      <c r="AJ44">
        <v>10434</v>
      </c>
      <c r="AK44">
        <v>10422</v>
      </c>
      <c r="AL44">
        <v>10375</v>
      </c>
      <c r="AM44">
        <v>10384</v>
      </c>
      <c r="AN44">
        <v>10433</v>
      </c>
      <c r="AO44">
        <v>10248</v>
      </c>
      <c r="AP44">
        <v>10190</v>
      </c>
      <c r="AQ44">
        <v>10341</v>
      </c>
      <c r="AR44">
        <v>10205</v>
      </c>
      <c r="AS44">
        <v>10139</v>
      </c>
      <c r="AT44">
        <v>10093</v>
      </c>
      <c r="AU44">
        <v>9998</v>
      </c>
      <c r="AV44">
        <v>9945</v>
      </c>
      <c r="AW44">
        <v>10107</v>
      </c>
      <c r="AX44">
        <v>10068</v>
      </c>
      <c r="AY44">
        <v>10134</v>
      </c>
      <c r="AZ44">
        <v>10194</v>
      </c>
      <c r="BA44">
        <v>10054</v>
      </c>
      <c r="BB44">
        <v>10049</v>
      </c>
      <c r="BC44">
        <v>9959</v>
      </c>
      <c r="BD44">
        <v>9883</v>
      </c>
      <c r="BE44">
        <v>9819</v>
      </c>
      <c r="BF44">
        <v>9713</v>
      </c>
      <c r="BG44">
        <v>9709</v>
      </c>
      <c r="BH44">
        <v>9702</v>
      </c>
      <c r="BI44">
        <v>9720</v>
      </c>
      <c r="BJ44">
        <v>9736</v>
      </c>
      <c r="BK44">
        <v>9554</v>
      </c>
      <c r="BL44">
        <v>9789</v>
      </c>
      <c r="BM44">
        <v>9701</v>
      </c>
      <c r="BN44">
        <v>9705</v>
      </c>
      <c r="BO44">
        <v>9549</v>
      </c>
      <c r="BP44">
        <v>9549</v>
      </c>
      <c r="BQ44">
        <v>9511</v>
      </c>
      <c r="BR44">
        <v>9481</v>
      </c>
      <c r="BS44">
        <v>9453</v>
      </c>
    </row>
    <row r="45" spans="1:71" x14ac:dyDescent="0.3">
      <c r="A45" s="4" t="s">
        <v>48</v>
      </c>
      <c r="B45">
        <v>28045</v>
      </c>
      <c r="C45">
        <v>28155</v>
      </c>
      <c r="D45">
        <v>28136</v>
      </c>
      <c r="E45">
        <v>28296</v>
      </c>
      <c r="F45">
        <v>27918</v>
      </c>
      <c r="G45">
        <v>27921</v>
      </c>
      <c r="H45">
        <v>27800</v>
      </c>
      <c r="I45">
        <v>27764</v>
      </c>
      <c r="J45">
        <v>27652</v>
      </c>
      <c r="K45">
        <v>27530</v>
      </c>
      <c r="L45">
        <v>27496</v>
      </c>
      <c r="M45">
        <v>27358</v>
      </c>
      <c r="N45">
        <v>27326</v>
      </c>
      <c r="O45">
        <v>26996</v>
      </c>
      <c r="P45">
        <v>27022</v>
      </c>
      <c r="Q45">
        <v>27092</v>
      </c>
      <c r="R45">
        <v>26805</v>
      </c>
      <c r="S45">
        <v>27036</v>
      </c>
      <c r="T45">
        <v>26694</v>
      </c>
      <c r="U45">
        <v>26345</v>
      </c>
      <c r="V45">
        <v>26218</v>
      </c>
      <c r="W45">
        <v>26336</v>
      </c>
      <c r="X45">
        <v>26110</v>
      </c>
      <c r="Y45">
        <v>26079</v>
      </c>
      <c r="Z45">
        <v>26019</v>
      </c>
      <c r="AA45">
        <v>26066</v>
      </c>
      <c r="AB45">
        <v>26041</v>
      </c>
      <c r="AC45">
        <v>25988</v>
      </c>
      <c r="AD45">
        <v>25847</v>
      </c>
      <c r="AE45">
        <v>25772</v>
      </c>
      <c r="AF45">
        <v>25519</v>
      </c>
      <c r="AG45">
        <v>25541</v>
      </c>
      <c r="AH45">
        <v>25708</v>
      </c>
      <c r="AI45">
        <v>25436</v>
      </c>
      <c r="AJ45">
        <v>25349</v>
      </c>
      <c r="AK45">
        <v>25320</v>
      </c>
      <c r="AL45">
        <v>25142</v>
      </c>
      <c r="AM45">
        <v>25003</v>
      </c>
      <c r="AN45">
        <v>25255</v>
      </c>
      <c r="AO45">
        <v>25062</v>
      </c>
      <c r="AP45">
        <v>24929</v>
      </c>
      <c r="AQ45">
        <v>24803</v>
      </c>
      <c r="AR45">
        <v>24683</v>
      </c>
      <c r="AS45">
        <v>24551</v>
      </c>
      <c r="AT45">
        <v>24625</v>
      </c>
      <c r="AU45">
        <v>24408</v>
      </c>
      <c r="AV45">
        <v>24143</v>
      </c>
      <c r="AW45">
        <v>24051</v>
      </c>
      <c r="AX45">
        <v>24193</v>
      </c>
      <c r="AY45">
        <v>23991</v>
      </c>
      <c r="AZ45">
        <v>23964</v>
      </c>
      <c r="BA45">
        <v>23864</v>
      </c>
      <c r="BB45">
        <v>23799</v>
      </c>
      <c r="BC45">
        <v>23838</v>
      </c>
      <c r="BD45">
        <v>23700</v>
      </c>
      <c r="BE45">
        <v>23348</v>
      </c>
      <c r="BF45">
        <v>23136</v>
      </c>
      <c r="BG45">
        <v>23122</v>
      </c>
      <c r="BH45">
        <v>22757</v>
      </c>
      <c r="BI45">
        <v>22806</v>
      </c>
      <c r="BJ45">
        <v>22734</v>
      </c>
      <c r="BK45">
        <v>22613</v>
      </c>
      <c r="BL45">
        <v>23033</v>
      </c>
      <c r="BM45">
        <v>22875</v>
      </c>
      <c r="BN45">
        <v>22792</v>
      </c>
      <c r="BO45">
        <v>22586</v>
      </c>
      <c r="BP45">
        <v>22453</v>
      </c>
      <c r="BQ45">
        <v>22257</v>
      </c>
      <c r="BR45">
        <v>22083</v>
      </c>
      <c r="BS45">
        <v>22339</v>
      </c>
    </row>
    <row r="46" spans="1:71" x14ac:dyDescent="0.3">
      <c r="A46" s="4" t="s">
        <v>49</v>
      </c>
      <c r="B46">
        <v>11292</v>
      </c>
      <c r="C46">
        <v>11152</v>
      </c>
      <c r="D46">
        <v>11131</v>
      </c>
      <c r="E46">
        <v>11163</v>
      </c>
      <c r="F46">
        <v>11077</v>
      </c>
      <c r="G46">
        <v>11091</v>
      </c>
      <c r="H46">
        <v>11137</v>
      </c>
      <c r="I46">
        <v>11048</v>
      </c>
      <c r="J46">
        <v>10976</v>
      </c>
      <c r="K46">
        <v>11007</v>
      </c>
      <c r="L46">
        <v>11015</v>
      </c>
      <c r="M46">
        <v>10770</v>
      </c>
      <c r="N46">
        <v>10788</v>
      </c>
      <c r="O46">
        <v>10728</v>
      </c>
      <c r="P46">
        <v>10709</v>
      </c>
      <c r="Q46">
        <v>10652</v>
      </c>
      <c r="R46">
        <v>10710</v>
      </c>
      <c r="S46">
        <v>10625</v>
      </c>
      <c r="T46">
        <v>10544</v>
      </c>
      <c r="U46">
        <v>10533</v>
      </c>
      <c r="V46">
        <v>10500</v>
      </c>
      <c r="W46">
        <v>10504</v>
      </c>
      <c r="X46">
        <v>10441</v>
      </c>
      <c r="Y46">
        <v>10502</v>
      </c>
      <c r="Z46">
        <v>10479</v>
      </c>
      <c r="AA46">
        <v>10448</v>
      </c>
      <c r="AB46">
        <v>10585</v>
      </c>
      <c r="AC46">
        <v>10667</v>
      </c>
      <c r="AD46">
        <v>10503</v>
      </c>
      <c r="AE46">
        <v>10601</v>
      </c>
      <c r="AF46">
        <v>10562</v>
      </c>
      <c r="AG46">
        <v>10561</v>
      </c>
      <c r="AH46">
        <v>10732</v>
      </c>
      <c r="AI46">
        <v>10712</v>
      </c>
      <c r="AJ46">
        <v>10729</v>
      </c>
      <c r="AK46">
        <v>10737</v>
      </c>
      <c r="AL46">
        <v>10752</v>
      </c>
      <c r="AM46">
        <v>10613</v>
      </c>
      <c r="AN46">
        <v>10913</v>
      </c>
      <c r="AO46">
        <v>10890</v>
      </c>
      <c r="AP46">
        <v>11008</v>
      </c>
      <c r="AQ46">
        <v>10875</v>
      </c>
      <c r="AR46">
        <v>10867</v>
      </c>
      <c r="AS46">
        <v>11031</v>
      </c>
      <c r="AT46">
        <v>11101</v>
      </c>
      <c r="AU46">
        <v>11171</v>
      </c>
      <c r="AV46">
        <v>11112</v>
      </c>
      <c r="AW46">
        <v>11134</v>
      </c>
      <c r="AX46">
        <v>11123</v>
      </c>
      <c r="AY46">
        <v>11038</v>
      </c>
      <c r="AZ46">
        <v>11159</v>
      </c>
      <c r="BA46">
        <v>11172</v>
      </c>
      <c r="BB46">
        <v>11143</v>
      </c>
      <c r="BC46">
        <v>11110</v>
      </c>
      <c r="BD46">
        <v>11052</v>
      </c>
      <c r="BE46">
        <v>11048</v>
      </c>
      <c r="BF46">
        <v>11039</v>
      </c>
      <c r="BG46">
        <v>11099</v>
      </c>
      <c r="BH46">
        <v>11118</v>
      </c>
      <c r="BI46">
        <v>11188</v>
      </c>
      <c r="BJ46">
        <v>11232</v>
      </c>
      <c r="BK46">
        <v>11220</v>
      </c>
      <c r="BL46">
        <v>11345</v>
      </c>
      <c r="BM46">
        <v>11181</v>
      </c>
      <c r="BN46">
        <v>11194</v>
      </c>
      <c r="BO46">
        <v>11175</v>
      </c>
      <c r="BP46">
        <v>11163</v>
      </c>
      <c r="BQ46">
        <v>11178</v>
      </c>
      <c r="BR46">
        <v>11138</v>
      </c>
      <c r="BS46">
        <v>11128</v>
      </c>
    </row>
    <row r="47" spans="1:71" x14ac:dyDescent="0.3">
      <c r="A47" s="4" t="s">
        <v>50</v>
      </c>
      <c r="B47">
        <v>44232</v>
      </c>
      <c r="C47">
        <v>43840</v>
      </c>
      <c r="D47">
        <v>44027</v>
      </c>
      <c r="E47">
        <v>44186</v>
      </c>
      <c r="F47">
        <v>43390</v>
      </c>
      <c r="G47">
        <v>43294</v>
      </c>
      <c r="H47">
        <v>42664</v>
      </c>
      <c r="I47">
        <v>42218</v>
      </c>
      <c r="J47">
        <v>41827</v>
      </c>
      <c r="K47">
        <v>41435</v>
      </c>
      <c r="L47">
        <v>41761</v>
      </c>
      <c r="M47">
        <v>41324</v>
      </c>
      <c r="N47">
        <v>41311</v>
      </c>
      <c r="O47">
        <v>40434</v>
      </c>
      <c r="P47">
        <v>40647</v>
      </c>
      <c r="Q47">
        <v>40388</v>
      </c>
      <c r="R47">
        <v>40648</v>
      </c>
      <c r="S47">
        <v>40083</v>
      </c>
      <c r="T47">
        <v>40105</v>
      </c>
      <c r="U47">
        <v>39776</v>
      </c>
      <c r="V47">
        <v>39624</v>
      </c>
      <c r="W47">
        <v>39503</v>
      </c>
      <c r="X47">
        <v>39415</v>
      </c>
      <c r="Y47">
        <v>39054</v>
      </c>
      <c r="Z47">
        <v>39313</v>
      </c>
      <c r="AA47">
        <v>39788</v>
      </c>
      <c r="AB47">
        <v>39631</v>
      </c>
      <c r="AC47">
        <v>39558</v>
      </c>
      <c r="AD47">
        <v>39288</v>
      </c>
      <c r="AE47">
        <v>39146</v>
      </c>
      <c r="AF47">
        <v>39255</v>
      </c>
      <c r="AG47">
        <v>39328</v>
      </c>
      <c r="AH47">
        <v>39711</v>
      </c>
      <c r="AI47">
        <v>39721</v>
      </c>
      <c r="AJ47">
        <v>39656</v>
      </c>
      <c r="AK47">
        <v>39501</v>
      </c>
      <c r="AL47">
        <v>39728</v>
      </c>
      <c r="AM47">
        <v>39604</v>
      </c>
      <c r="AN47">
        <v>40053</v>
      </c>
      <c r="AO47">
        <v>39895</v>
      </c>
      <c r="AP47">
        <v>39772</v>
      </c>
      <c r="AQ47">
        <v>39661</v>
      </c>
      <c r="AR47">
        <v>39717</v>
      </c>
      <c r="AS47">
        <v>39947</v>
      </c>
      <c r="AT47">
        <v>40305</v>
      </c>
      <c r="AU47">
        <v>40365</v>
      </c>
      <c r="AV47">
        <v>40246</v>
      </c>
      <c r="AW47">
        <v>40350</v>
      </c>
      <c r="AX47">
        <v>40447</v>
      </c>
      <c r="AY47">
        <v>40121</v>
      </c>
      <c r="AZ47">
        <v>40237</v>
      </c>
      <c r="BA47">
        <v>40040</v>
      </c>
      <c r="BB47">
        <v>40018</v>
      </c>
      <c r="BC47">
        <v>39583</v>
      </c>
      <c r="BD47">
        <v>39834</v>
      </c>
      <c r="BE47">
        <v>39550</v>
      </c>
      <c r="BF47">
        <v>39495</v>
      </c>
      <c r="BG47">
        <v>39557</v>
      </c>
      <c r="BH47">
        <v>39326</v>
      </c>
      <c r="BI47">
        <v>39891</v>
      </c>
      <c r="BJ47">
        <v>39667</v>
      </c>
      <c r="BK47">
        <v>39517</v>
      </c>
      <c r="BL47">
        <v>40186</v>
      </c>
      <c r="BM47">
        <v>39469</v>
      </c>
      <c r="BN47">
        <v>39754</v>
      </c>
      <c r="BO47">
        <v>39400</v>
      </c>
      <c r="BP47">
        <v>39405</v>
      </c>
      <c r="BQ47">
        <v>39263</v>
      </c>
      <c r="BR47">
        <v>38937</v>
      </c>
      <c r="BS47">
        <v>38985</v>
      </c>
    </row>
    <row r="48" spans="1:71" x14ac:dyDescent="0.3">
      <c r="B48">
        <v>0</v>
      </c>
      <c r="C48">
        <v>3.5</v>
      </c>
      <c r="D48">
        <v>6.9</v>
      </c>
      <c r="E48">
        <v>10.4</v>
      </c>
      <c r="F48">
        <v>13.8</v>
      </c>
      <c r="G48">
        <v>17.2</v>
      </c>
      <c r="H48">
        <v>20.7</v>
      </c>
      <c r="I48">
        <v>24.1</v>
      </c>
      <c r="J48">
        <v>27.6</v>
      </c>
      <c r="K48">
        <v>31</v>
      </c>
      <c r="L48">
        <v>34.5</v>
      </c>
      <c r="M48">
        <v>37.9</v>
      </c>
      <c r="N48">
        <v>41.3</v>
      </c>
      <c r="O48">
        <v>44.8</v>
      </c>
      <c r="P48">
        <v>48.2</v>
      </c>
      <c r="Q48">
        <v>51.7</v>
      </c>
      <c r="R48">
        <v>55.1</v>
      </c>
      <c r="S48">
        <v>58.6</v>
      </c>
      <c r="T48">
        <v>62</v>
      </c>
      <c r="U48">
        <v>65.400000000000006</v>
      </c>
      <c r="V48">
        <v>68.900000000000006</v>
      </c>
      <c r="W48">
        <v>72.3</v>
      </c>
      <c r="X48">
        <v>75.7</v>
      </c>
      <c r="Y48">
        <v>79.2</v>
      </c>
      <c r="Z48">
        <v>82.6</v>
      </c>
      <c r="AA48">
        <v>86.1</v>
      </c>
      <c r="AB48">
        <v>89.5</v>
      </c>
      <c r="AC48">
        <v>92.9</v>
      </c>
      <c r="AD48">
        <v>96.4</v>
      </c>
      <c r="AE48">
        <v>99.8</v>
      </c>
      <c r="AF48">
        <v>103.3</v>
      </c>
      <c r="AG48">
        <v>106.7</v>
      </c>
      <c r="AH48">
        <v>110.1</v>
      </c>
      <c r="AI48">
        <v>113.6</v>
      </c>
      <c r="AJ48">
        <v>117</v>
      </c>
      <c r="AK48">
        <v>120.4</v>
      </c>
      <c r="AL48">
        <v>123.9</v>
      </c>
      <c r="AM48">
        <v>127.3</v>
      </c>
      <c r="AN48">
        <v>130.80000000000001</v>
      </c>
      <c r="AO48">
        <v>134.19999999999999</v>
      </c>
      <c r="AP48">
        <v>137.6</v>
      </c>
      <c r="AQ48">
        <v>141.1</v>
      </c>
      <c r="AR48">
        <v>144.6</v>
      </c>
      <c r="AS48">
        <v>148</v>
      </c>
      <c r="AT48">
        <v>151.4</v>
      </c>
      <c r="AU48">
        <v>154.9</v>
      </c>
      <c r="AV48">
        <v>158.30000000000001</v>
      </c>
      <c r="AW48">
        <v>161.69999999999999</v>
      </c>
      <c r="AX48">
        <v>165.2</v>
      </c>
      <c r="AY48">
        <v>168.6</v>
      </c>
      <c r="AZ48">
        <v>172.1</v>
      </c>
      <c r="BA48">
        <v>175.5</v>
      </c>
      <c r="BB48">
        <v>178.9</v>
      </c>
      <c r="BC48">
        <v>182.4</v>
      </c>
      <c r="BD48">
        <v>185.8</v>
      </c>
      <c r="BE48">
        <v>189.2</v>
      </c>
      <c r="BF48">
        <v>192.7</v>
      </c>
      <c r="BG48">
        <v>196.1</v>
      </c>
      <c r="BH48">
        <v>199.6</v>
      </c>
      <c r="BI48">
        <v>203</v>
      </c>
      <c r="BJ48">
        <v>206.4</v>
      </c>
      <c r="BK48">
        <v>209.9</v>
      </c>
      <c r="BL48">
        <v>213.3</v>
      </c>
      <c r="BM48">
        <v>216.8</v>
      </c>
      <c r="BN48">
        <v>220.2</v>
      </c>
      <c r="BO48">
        <v>223.7</v>
      </c>
      <c r="BP48">
        <v>227.1</v>
      </c>
      <c r="BQ48">
        <v>230.5</v>
      </c>
      <c r="BR48">
        <v>234</v>
      </c>
      <c r="BS48">
        <v>237.4</v>
      </c>
    </row>
    <row r="49" spans="1:71" ht="15.6" x14ac:dyDescent="0.35">
      <c r="A49" s="7" t="s">
        <v>91</v>
      </c>
      <c r="B49">
        <f>(B45-B44)/B44</f>
        <v>1.6832185227707617</v>
      </c>
      <c r="C49">
        <f t="shared" ref="C49:BN49" si="0">(C45-C44)/C44</f>
        <v>1.6865458015267176</v>
      </c>
      <c r="D49">
        <f t="shared" si="0"/>
        <v>1.6752876295521537</v>
      </c>
      <c r="E49">
        <f t="shared" si="0"/>
        <v>1.6938309215536937</v>
      </c>
      <c r="F49">
        <f t="shared" si="0"/>
        <v>1.6467576791808873</v>
      </c>
      <c r="G49">
        <f t="shared" si="0"/>
        <v>1.6410329171396141</v>
      </c>
      <c r="H49">
        <f t="shared" si="0"/>
        <v>1.6221467647613659</v>
      </c>
      <c r="I49">
        <f t="shared" si="0"/>
        <v>1.6214710603342462</v>
      </c>
      <c r="J49">
        <f t="shared" si="0"/>
        <v>1.5983837624506672</v>
      </c>
      <c r="K49">
        <f t="shared" si="0"/>
        <v>1.5996222851746931</v>
      </c>
      <c r="L49">
        <f t="shared" si="0"/>
        <v>1.5983745983745983</v>
      </c>
      <c r="M49">
        <f t="shared" si="0"/>
        <v>1.5811869044249458</v>
      </c>
      <c r="N49">
        <f t="shared" si="0"/>
        <v>1.5806025120407972</v>
      </c>
      <c r="O49">
        <f t="shared" si="0"/>
        <v>1.5384109073812882</v>
      </c>
      <c r="P49">
        <f t="shared" si="0"/>
        <v>1.5482836665409279</v>
      </c>
      <c r="Q49">
        <f t="shared" si="0"/>
        <v>1.5479168625975737</v>
      </c>
      <c r="R49">
        <f t="shared" si="0"/>
        <v>1.5287735849056603</v>
      </c>
      <c r="S49">
        <f t="shared" si="0"/>
        <v>1.5283830543346115</v>
      </c>
      <c r="T49">
        <f t="shared" si="0"/>
        <v>1.5285592497868712</v>
      </c>
      <c r="U49">
        <f t="shared" si="0"/>
        <v>1.4988143792089539</v>
      </c>
      <c r="V49">
        <f t="shared" si="0"/>
        <v>1.4981419723677942</v>
      </c>
      <c r="W49">
        <f t="shared" si="0"/>
        <v>1.4922873095485947</v>
      </c>
      <c r="X49">
        <f t="shared" si="0"/>
        <v>1.4798176465001425</v>
      </c>
      <c r="Y49">
        <f t="shared" si="0"/>
        <v>1.4860819828408007</v>
      </c>
      <c r="Z49">
        <f t="shared" si="0"/>
        <v>1.4702363998860724</v>
      </c>
      <c r="AA49">
        <f t="shared" si="0"/>
        <v>1.4630067088727203</v>
      </c>
      <c r="AB49">
        <f t="shared" si="0"/>
        <v>1.4557714070162202</v>
      </c>
      <c r="AC49">
        <f t="shared" si="0"/>
        <v>1.4554043839758126</v>
      </c>
      <c r="AD49">
        <f t="shared" si="0"/>
        <v>1.4738705972434916</v>
      </c>
      <c r="AE49">
        <f t="shared" si="0"/>
        <v>1.4446974008726996</v>
      </c>
      <c r="AF49">
        <f t="shared" si="0"/>
        <v>1.4197800113787218</v>
      </c>
      <c r="AG49">
        <f t="shared" si="0"/>
        <v>1.4343309187952726</v>
      </c>
      <c r="AH49">
        <f t="shared" si="0"/>
        <v>1.4314764021564361</v>
      </c>
      <c r="AI49">
        <f t="shared" si="0"/>
        <v>1.4282577565632457</v>
      </c>
      <c r="AJ49">
        <f t="shared" si="0"/>
        <v>1.4294613762698869</v>
      </c>
      <c r="AK49">
        <f t="shared" si="0"/>
        <v>1.4294761082325849</v>
      </c>
      <c r="AL49">
        <f t="shared" si="0"/>
        <v>1.4233253012048193</v>
      </c>
      <c r="AM49">
        <f t="shared" si="0"/>
        <v>1.4078389830508475</v>
      </c>
      <c r="AN49">
        <f t="shared" si="0"/>
        <v>1.420684366912681</v>
      </c>
      <c r="AO49">
        <f t="shared" si="0"/>
        <v>1.4455503512880563</v>
      </c>
      <c r="AP49">
        <f t="shared" si="0"/>
        <v>1.4464180569185476</v>
      </c>
      <c r="AQ49">
        <f t="shared" si="0"/>
        <v>1.3985107823227927</v>
      </c>
      <c r="AR49">
        <f t="shared" si="0"/>
        <v>1.418716315531602</v>
      </c>
      <c r="AS49">
        <f t="shared" si="0"/>
        <v>1.4214419568004735</v>
      </c>
      <c r="AT49">
        <f t="shared" si="0"/>
        <v>1.4398097691469336</v>
      </c>
      <c r="AU49">
        <f t="shared" si="0"/>
        <v>1.4412882576515302</v>
      </c>
      <c r="AV49">
        <f t="shared" si="0"/>
        <v>1.4276520864756159</v>
      </c>
      <c r="AW49">
        <f t="shared" si="0"/>
        <v>1.3796378747402791</v>
      </c>
      <c r="AX49">
        <f t="shared" si="0"/>
        <v>1.4029598728645212</v>
      </c>
      <c r="AY49">
        <f t="shared" si="0"/>
        <v>1.367377146240379</v>
      </c>
      <c r="AZ49">
        <f t="shared" si="0"/>
        <v>1.3507945850500294</v>
      </c>
      <c r="BA49">
        <f t="shared" si="0"/>
        <v>1.373582653670181</v>
      </c>
      <c r="BB49">
        <f t="shared" si="0"/>
        <v>1.3682953527714201</v>
      </c>
      <c r="BC49">
        <f t="shared" si="0"/>
        <v>1.3936138166482579</v>
      </c>
      <c r="BD49">
        <f t="shared" si="0"/>
        <v>1.3980572700596985</v>
      </c>
      <c r="BE49">
        <f t="shared" si="0"/>
        <v>1.3778388837967206</v>
      </c>
      <c r="BF49">
        <f t="shared" si="0"/>
        <v>1.3819623185421599</v>
      </c>
      <c r="BG49">
        <f t="shared" si="0"/>
        <v>1.3815016994541147</v>
      </c>
      <c r="BH49">
        <f t="shared" si="0"/>
        <v>1.3455988455988457</v>
      </c>
      <c r="BI49">
        <f t="shared" si="0"/>
        <v>1.3462962962962963</v>
      </c>
      <c r="BJ49">
        <f t="shared" si="0"/>
        <v>1.3350451930977814</v>
      </c>
      <c r="BK49">
        <f t="shared" si="0"/>
        <v>1.3668620473100273</v>
      </c>
      <c r="BL49">
        <f t="shared" si="0"/>
        <v>1.3529471856165083</v>
      </c>
      <c r="BM49">
        <f t="shared" si="0"/>
        <v>1.3580043294505721</v>
      </c>
      <c r="BN49">
        <f t="shared" si="0"/>
        <v>1.3484801648634723</v>
      </c>
      <c r="BO49">
        <f t="shared" ref="BO49:BS49" si="1">(BO45-BO44)/BO44</f>
        <v>1.3652738506649911</v>
      </c>
      <c r="BP49">
        <f t="shared" si="1"/>
        <v>1.3513456906482355</v>
      </c>
      <c r="BQ49">
        <f t="shared" si="1"/>
        <v>1.3401324781831563</v>
      </c>
      <c r="BR49">
        <f t="shared" si="1"/>
        <v>1.3291846851597933</v>
      </c>
      <c r="BS49">
        <f t="shared" si="1"/>
        <v>1.3631651327620862</v>
      </c>
    </row>
    <row r="50" spans="1:71" ht="15.6" x14ac:dyDescent="0.35">
      <c r="A50" s="7" t="s">
        <v>92</v>
      </c>
      <c r="B50">
        <f>(B47-B46)/B46</f>
        <v>2.9171094580233792</v>
      </c>
      <c r="C50">
        <f t="shared" ref="C50:BN50" si="2">(C47-C46)/C46</f>
        <v>2.9311334289813487</v>
      </c>
      <c r="D50">
        <f t="shared" si="2"/>
        <v>2.9553499236366902</v>
      </c>
      <c r="E50">
        <f t="shared" si="2"/>
        <v>2.9582549493863657</v>
      </c>
      <c r="F50">
        <f t="shared" si="2"/>
        <v>2.9171255755168368</v>
      </c>
      <c r="G50">
        <f t="shared" si="2"/>
        <v>2.9035253809395005</v>
      </c>
      <c r="H50">
        <f t="shared" si="2"/>
        <v>2.8308341564155519</v>
      </c>
      <c r="I50">
        <f t="shared" si="2"/>
        <v>2.8213251267197683</v>
      </c>
      <c r="J50">
        <f t="shared" si="2"/>
        <v>2.8107689504373177</v>
      </c>
      <c r="K50">
        <f t="shared" si="2"/>
        <v>2.7644226401380938</v>
      </c>
      <c r="L50">
        <f t="shared" si="2"/>
        <v>2.7912846118928734</v>
      </c>
      <c r="M50">
        <f t="shared" si="2"/>
        <v>2.8369545032497681</v>
      </c>
      <c r="N50">
        <f t="shared" si="2"/>
        <v>2.8293474230626621</v>
      </c>
      <c r="O50">
        <f t="shared" si="2"/>
        <v>2.7690156599552571</v>
      </c>
      <c r="P50">
        <f t="shared" si="2"/>
        <v>2.7955924922961994</v>
      </c>
      <c r="Q50">
        <f t="shared" si="2"/>
        <v>2.7915884340968833</v>
      </c>
      <c r="R50">
        <f t="shared" si="2"/>
        <v>2.7953314659197011</v>
      </c>
      <c r="S50">
        <f t="shared" si="2"/>
        <v>2.7725176470588235</v>
      </c>
      <c r="T50">
        <f t="shared" si="2"/>
        <v>2.80358497723824</v>
      </c>
      <c r="U50">
        <f t="shared" si="2"/>
        <v>2.7763220355074529</v>
      </c>
      <c r="V50">
        <f t="shared" si="2"/>
        <v>2.7737142857142856</v>
      </c>
      <c r="W50">
        <f t="shared" si="2"/>
        <v>2.7607578065498859</v>
      </c>
      <c r="X50">
        <f t="shared" si="2"/>
        <v>2.7750215496599941</v>
      </c>
      <c r="Y50">
        <f t="shared" si="2"/>
        <v>2.7187202437630926</v>
      </c>
      <c r="Z50">
        <f t="shared" si="2"/>
        <v>2.7515984349651683</v>
      </c>
      <c r="AA50">
        <f t="shared" si="2"/>
        <v>2.8081929555895866</v>
      </c>
      <c r="AB50">
        <f t="shared" si="2"/>
        <v>2.74407179971658</v>
      </c>
      <c r="AC50">
        <f t="shared" si="2"/>
        <v>2.7084466110434047</v>
      </c>
      <c r="AD50">
        <f t="shared" si="2"/>
        <v>2.7406455298486145</v>
      </c>
      <c r="AE50">
        <f t="shared" si="2"/>
        <v>2.6926705027827564</v>
      </c>
      <c r="AF50">
        <f t="shared" si="2"/>
        <v>2.7166256390835071</v>
      </c>
      <c r="AG50">
        <f t="shared" si="2"/>
        <v>2.7238897831644731</v>
      </c>
      <c r="AH50">
        <f t="shared" si="2"/>
        <v>2.7002422661200147</v>
      </c>
      <c r="AI50">
        <f t="shared" si="2"/>
        <v>2.7080843913368184</v>
      </c>
      <c r="AJ50">
        <f t="shared" si="2"/>
        <v>2.6961506198154535</v>
      </c>
      <c r="AK50">
        <f t="shared" si="2"/>
        <v>2.6789606035205367</v>
      </c>
      <c r="AL50">
        <f t="shared" si="2"/>
        <v>2.6949404761904763</v>
      </c>
      <c r="AM50">
        <f t="shared" si="2"/>
        <v>2.7316498633751061</v>
      </c>
      <c r="AN50">
        <f t="shared" si="2"/>
        <v>2.6702098414734721</v>
      </c>
      <c r="AO50">
        <f t="shared" si="2"/>
        <v>2.6634527089072542</v>
      </c>
      <c r="AP50">
        <f t="shared" si="2"/>
        <v>2.6130087209302326</v>
      </c>
      <c r="AQ50">
        <f t="shared" si="2"/>
        <v>2.6469885057471263</v>
      </c>
      <c r="AR50">
        <f t="shared" si="2"/>
        <v>2.6548265390632189</v>
      </c>
      <c r="AS50">
        <f t="shared" si="2"/>
        <v>2.6213398603934368</v>
      </c>
      <c r="AT50">
        <f t="shared" si="2"/>
        <v>2.6307539861273761</v>
      </c>
      <c r="AU50">
        <f t="shared" si="2"/>
        <v>2.6133739146003045</v>
      </c>
      <c r="AV50">
        <f t="shared" si="2"/>
        <v>2.6218502519798417</v>
      </c>
      <c r="AW50">
        <f t="shared" si="2"/>
        <v>2.6240344889527574</v>
      </c>
      <c r="AX50">
        <f t="shared" si="2"/>
        <v>2.6363391171446553</v>
      </c>
      <c r="AY50">
        <f t="shared" si="2"/>
        <v>2.6348070302591049</v>
      </c>
      <c r="AZ50">
        <f t="shared" si="2"/>
        <v>2.605789049197957</v>
      </c>
      <c r="BA50">
        <f t="shared" si="2"/>
        <v>2.5839598997493733</v>
      </c>
      <c r="BB50">
        <f t="shared" si="2"/>
        <v>2.5913129318854886</v>
      </c>
      <c r="BC50">
        <f t="shared" si="2"/>
        <v>2.5628262826282628</v>
      </c>
      <c r="BD50">
        <f t="shared" si="2"/>
        <v>2.6042345276872965</v>
      </c>
      <c r="BE50">
        <f t="shared" si="2"/>
        <v>2.5798334540188268</v>
      </c>
      <c r="BF50">
        <f t="shared" si="2"/>
        <v>2.5777697255186158</v>
      </c>
      <c r="BG50">
        <f t="shared" si="2"/>
        <v>2.5640147761059553</v>
      </c>
      <c r="BH50">
        <f t="shared" si="2"/>
        <v>2.5371469688792949</v>
      </c>
      <c r="BI50">
        <f t="shared" si="2"/>
        <v>2.5655166249553094</v>
      </c>
      <c r="BJ50">
        <f t="shared" si="2"/>
        <v>2.5316061253561255</v>
      </c>
      <c r="BK50">
        <f t="shared" si="2"/>
        <v>2.5220142602495543</v>
      </c>
      <c r="BL50">
        <f t="shared" si="2"/>
        <v>2.542177170559718</v>
      </c>
      <c r="BM50">
        <f t="shared" si="2"/>
        <v>2.5300062606206959</v>
      </c>
      <c r="BN50">
        <f t="shared" si="2"/>
        <v>2.5513668036448096</v>
      </c>
      <c r="BO50">
        <f t="shared" ref="BO50:BS50" si="3">(BO47-BO46)/BO46</f>
        <v>2.5257270693512304</v>
      </c>
      <c r="BP50">
        <f t="shared" si="3"/>
        <v>2.5299650631550659</v>
      </c>
      <c r="BQ50">
        <f t="shared" si="3"/>
        <v>2.5125246018965828</v>
      </c>
      <c r="BR50">
        <f t="shared" si="3"/>
        <v>2.4958699946130363</v>
      </c>
      <c r="BS50">
        <f t="shared" si="3"/>
        <v>2.5033249460819555</v>
      </c>
    </row>
    <row r="52" spans="1:71" x14ac:dyDescent="0.3">
      <c r="A52" t="s">
        <v>51</v>
      </c>
      <c r="B52" s="1" t="s">
        <v>58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37"/>
  <sheetViews>
    <sheetView tabSelected="1" topLeftCell="AZ12" zoomScale="82" workbookViewId="0">
      <selection activeCell="A22" sqref="A22:BS38"/>
    </sheetView>
  </sheetViews>
  <sheetFormatPr baseColWidth="10" defaultRowHeight="14.4" x14ac:dyDescent="0.3"/>
  <cols>
    <col min="2" max="2" width="15.5546875" customWidth="1"/>
    <col min="3" max="3" width="16" customWidth="1"/>
    <col min="4" max="4" width="17.109375" customWidth="1"/>
    <col min="5" max="5" width="17" customWidth="1"/>
  </cols>
  <sheetData>
    <row r="1" spans="2:5" x14ac:dyDescent="0.3">
      <c r="B1" s="6" t="s">
        <v>72</v>
      </c>
    </row>
    <row r="2" spans="2:5" x14ac:dyDescent="0.3">
      <c r="B2" t="s">
        <v>68</v>
      </c>
      <c r="C2" t="s">
        <v>69</v>
      </c>
      <c r="D2" t="s">
        <v>70</v>
      </c>
      <c r="E2" t="s">
        <v>71</v>
      </c>
    </row>
    <row r="4" spans="2:5" x14ac:dyDescent="0.3">
      <c r="B4">
        <v>1</v>
      </c>
      <c r="C4">
        <v>2</v>
      </c>
      <c r="D4">
        <v>3</v>
      </c>
      <c r="E4">
        <v>4</v>
      </c>
    </row>
    <row r="22" spans="1:71" x14ac:dyDescent="0.3">
      <c r="B22">
        <v>0</v>
      </c>
      <c r="C22">
        <v>3.5</v>
      </c>
      <c r="D22">
        <v>6.9</v>
      </c>
      <c r="E22">
        <v>10.4</v>
      </c>
      <c r="F22">
        <v>13.8</v>
      </c>
      <c r="G22">
        <v>17.2</v>
      </c>
      <c r="H22">
        <v>20.7</v>
      </c>
      <c r="I22">
        <v>24.1</v>
      </c>
      <c r="J22">
        <v>27.6</v>
      </c>
      <c r="K22">
        <v>31</v>
      </c>
      <c r="L22">
        <v>34.5</v>
      </c>
      <c r="M22">
        <v>37.9</v>
      </c>
      <c r="N22">
        <v>41.3</v>
      </c>
      <c r="O22">
        <v>44.8</v>
      </c>
      <c r="P22">
        <v>48.2</v>
      </c>
      <c r="Q22">
        <v>51.7</v>
      </c>
      <c r="R22">
        <v>55.1</v>
      </c>
      <c r="S22">
        <v>58.6</v>
      </c>
      <c r="T22">
        <v>62</v>
      </c>
      <c r="U22">
        <v>65.400000000000006</v>
      </c>
      <c r="V22">
        <v>68.900000000000006</v>
      </c>
      <c r="W22">
        <v>72.3</v>
      </c>
      <c r="X22">
        <v>75.7</v>
      </c>
      <c r="Y22">
        <v>79.2</v>
      </c>
      <c r="Z22">
        <v>82.6</v>
      </c>
      <c r="AA22">
        <v>86.1</v>
      </c>
      <c r="AB22">
        <v>89.5</v>
      </c>
      <c r="AC22">
        <v>92.9</v>
      </c>
      <c r="AD22">
        <v>96.4</v>
      </c>
      <c r="AE22">
        <v>99.8</v>
      </c>
      <c r="AF22">
        <v>103.3</v>
      </c>
      <c r="AG22">
        <v>106.7</v>
      </c>
      <c r="AH22">
        <v>110.1</v>
      </c>
      <c r="AI22">
        <v>113.6</v>
      </c>
      <c r="AJ22">
        <v>117</v>
      </c>
      <c r="AK22">
        <v>120.4</v>
      </c>
      <c r="AL22">
        <v>123.9</v>
      </c>
      <c r="AM22">
        <v>127.3</v>
      </c>
      <c r="AN22">
        <v>130.80000000000001</v>
      </c>
      <c r="AO22">
        <v>134.19999999999999</v>
      </c>
      <c r="AP22">
        <v>137.6</v>
      </c>
      <c r="AQ22">
        <v>141.1</v>
      </c>
      <c r="AR22">
        <v>144.6</v>
      </c>
      <c r="AS22">
        <v>148</v>
      </c>
      <c r="AT22">
        <v>151.4</v>
      </c>
      <c r="AU22">
        <v>154.9</v>
      </c>
      <c r="AV22">
        <v>158.30000000000001</v>
      </c>
      <c r="AW22">
        <v>161.69999999999999</v>
      </c>
      <c r="AX22">
        <v>165.2</v>
      </c>
      <c r="AY22">
        <v>168.6</v>
      </c>
      <c r="AZ22">
        <v>172.1</v>
      </c>
      <c r="BA22">
        <v>175.5</v>
      </c>
      <c r="BB22">
        <v>178.9</v>
      </c>
      <c r="BC22">
        <v>182.4</v>
      </c>
      <c r="BD22">
        <v>185.8</v>
      </c>
      <c r="BE22">
        <v>189.2</v>
      </c>
      <c r="BF22">
        <v>192.7</v>
      </c>
      <c r="BG22">
        <v>196.1</v>
      </c>
      <c r="BH22">
        <v>199.6</v>
      </c>
      <c r="BI22">
        <v>203</v>
      </c>
      <c r="BJ22">
        <v>206.4</v>
      </c>
      <c r="BK22">
        <v>209.9</v>
      </c>
      <c r="BL22">
        <v>213.3</v>
      </c>
      <c r="BM22">
        <v>216.8</v>
      </c>
      <c r="BN22">
        <v>220.2</v>
      </c>
      <c r="BO22">
        <v>223.7</v>
      </c>
      <c r="BP22">
        <v>227.1</v>
      </c>
      <c r="BQ22">
        <v>230.5</v>
      </c>
      <c r="BR22">
        <v>234</v>
      </c>
      <c r="BS22">
        <v>237.4</v>
      </c>
    </row>
    <row r="23" spans="1:71" x14ac:dyDescent="0.3">
      <c r="A23" t="s">
        <v>93</v>
      </c>
      <c r="B23">
        <v>1.6832185227707617</v>
      </c>
      <c r="C23">
        <v>1.6865458015267176</v>
      </c>
      <c r="D23">
        <v>1.6752876295521537</v>
      </c>
      <c r="E23">
        <v>1.6938309215536937</v>
      </c>
      <c r="F23">
        <v>1.6467576791808873</v>
      </c>
      <c r="G23">
        <v>1.6410329171396141</v>
      </c>
      <c r="H23">
        <v>1.6221467647613659</v>
      </c>
      <c r="I23">
        <v>1.6214710603342462</v>
      </c>
      <c r="J23">
        <v>1.5983837624506672</v>
      </c>
      <c r="K23">
        <v>1.5996222851746931</v>
      </c>
      <c r="L23">
        <v>1.5983745983745983</v>
      </c>
      <c r="M23">
        <v>1.5811869044249458</v>
      </c>
      <c r="N23">
        <v>1.5806025120407972</v>
      </c>
      <c r="O23">
        <v>1.5384109073812882</v>
      </c>
      <c r="P23">
        <v>1.5482836665409279</v>
      </c>
      <c r="Q23">
        <v>1.5479168625975737</v>
      </c>
      <c r="R23">
        <v>1.5287735849056603</v>
      </c>
      <c r="S23">
        <v>1.5283830543346115</v>
      </c>
      <c r="T23">
        <v>1.5285592497868712</v>
      </c>
      <c r="U23">
        <v>1.4988143792089539</v>
      </c>
      <c r="V23">
        <v>1.4981419723677942</v>
      </c>
      <c r="W23">
        <v>1.4922873095485947</v>
      </c>
      <c r="X23">
        <v>1.4798176465001425</v>
      </c>
      <c r="Y23">
        <v>1.4860819828408007</v>
      </c>
      <c r="Z23">
        <v>1.4702363998860724</v>
      </c>
      <c r="AA23">
        <v>1.4630067088727203</v>
      </c>
      <c r="AB23">
        <v>1.4557714070162202</v>
      </c>
      <c r="AC23">
        <v>1.4554043839758126</v>
      </c>
      <c r="AD23">
        <v>1.4738705972434916</v>
      </c>
      <c r="AE23">
        <v>1.4446974008726996</v>
      </c>
      <c r="AF23">
        <v>1.4197800113787218</v>
      </c>
      <c r="AG23">
        <v>1.4343309187952726</v>
      </c>
      <c r="AH23">
        <v>1.4314764021564361</v>
      </c>
      <c r="AI23">
        <v>1.4282577565632457</v>
      </c>
      <c r="AJ23">
        <v>1.4294613762698869</v>
      </c>
      <c r="AK23">
        <v>1.4294761082325849</v>
      </c>
      <c r="AL23">
        <v>1.4233253012048193</v>
      </c>
      <c r="AM23">
        <v>1.4078389830508475</v>
      </c>
      <c r="AN23">
        <v>1.420684366912681</v>
      </c>
      <c r="AO23">
        <v>1.4455503512880563</v>
      </c>
      <c r="AP23">
        <v>1.4464180569185476</v>
      </c>
      <c r="AQ23">
        <v>1.3985107823227927</v>
      </c>
      <c r="AR23">
        <v>1.418716315531602</v>
      </c>
      <c r="AS23">
        <v>1.4214419568004735</v>
      </c>
      <c r="AT23">
        <v>1.4398097691469336</v>
      </c>
      <c r="AU23">
        <v>1.4412882576515302</v>
      </c>
      <c r="AV23">
        <v>1.4276520864756159</v>
      </c>
      <c r="AW23">
        <v>1.3796378747402791</v>
      </c>
      <c r="AX23">
        <v>1.4029598728645212</v>
      </c>
      <c r="AY23">
        <v>1.367377146240379</v>
      </c>
      <c r="AZ23">
        <v>1.3507945850500294</v>
      </c>
      <c r="BA23">
        <v>1.373582653670181</v>
      </c>
      <c r="BB23">
        <v>1.3682953527714201</v>
      </c>
      <c r="BC23">
        <v>1.3936138166482579</v>
      </c>
      <c r="BD23">
        <v>1.3980572700596985</v>
      </c>
      <c r="BE23">
        <v>1.3778388837967206</v>
      </c>
      <c r="BF23">
        <v>1.3819623185421599</v>
      </c>
      <c r="BG23">
        <v>1.3815016994541147</v>
      </c>
      <c r="BH23">
        <v>1.3455988455988457</v>
      </c>
      <c r="BI23">
        <v>1.3462962962962963</v>
      </c>
      <c r="BJ23">
        <v>1.3350451930977814</v>
      </c>
      <c r="BK23">
        <v>1.3668620473100273</v>
      </c>
      <c r="BL23">
        <v>1.3529471856165083</v>
      </c>
      <c r="BM23">
        <v>1.3580043294505721</v>
      </c>
      <c r="BN23">
        <v>1.3484801648634723</v>
      </c>
      <c r="BO23">
        <v>1.3652738506649911</v>
      </c>
      <c r="BP23">
        <v>1.3513456906482355</v>
      </c>
      <c r="BQ23">
        <v>1.3401324781831563</v>
      </c>
      <c r="BR23">
        <v>1.3291846851597933</v>
      </c>
      <c r="BS23">
        <v>1.3631651327620862</v>
      </c>
    </row>
    <row r="24" spans="1:71" x14ac:dyDescent="0.3">
      <c r="A24" t="s">
        <v>94</v>
      </c>
      <c r="B24">
        <v>2.9171094580233792</v>
      </c>
      <c r="C24">
        <v>2.9311334289813487</v>
      </c>
      <c r="D24">
        <v>2.9553499236366902</v>
      </c>
      <c r="E24">
        <v>2.9582549493863657</v>
      </c>
      <c r="F24">
        <v>2.9171255755168368</v>
      </c>
      <c r="G24">
        <v>2.9035253809395005</v>
      </c>
      <c r="H24">
        <v>2.8308341564155519</v>
      </c>
      <c r="I24">
        <v>2.8213251267197683</v>
      </c>
      <c r="J24">
        <v>2.8107689504373177</v>
      </c>
      <c r="K24">
        <v>2.7644226401380938</v>
      </c>
      <c r="L24">
        <v>2.7912846118928734</v>
      </c>
      <c r="M24">
        <v>2.8369545032497681</v>
      </c>
      <c r="N24">
        <v>2.8293474230626621</v>
      </c>
      <c r="O24">
        <v>2.7690156599552571</v>
      </c>
      <c r="P24">
        <v>2.7955924922961994</v>
      </c>
      <c r="Q24">
        <v>2.7915884340968833</v>
      </c>
      <c r="R24">
        <v>2.7953314659197011</v>
      </c>
      <c r="S24">
        <v>2.7725176470588235</v>
      </c>
      <c r="T24">
        <v>2.80358497723824</v>
      </c>
      <c r="U24">
        <v>2.7763220355074529</v>
      </c>
      <c r="V24">
        <v>2.7737142857142856</v>
      </c>
      <c r="W24">
        <v>2.7607578065498859</v>
      </c>
      <c r="X24">
        <v>2.7750215496599941</v>
      </c>
      <c r="Y24">
        <v>2.7187202437630926</v>
      </c>
      <c r="Z24">
        <v>2.7515984349651683</v>
      </c>
      <c r="AA24">
        <v>2.8081929555895866</v>
      </c>
      <c r="AB24">
        <v>2.74407179971658</v>
      </c>
      <c r="AC24">
        <v>2.7084466110434047</v>
      </c>
      <c r="AD24">
        <v>2.7406455298486145</v>
      </c>
      <c r="AE24">
        <v>2.6926705027827564</v>
      </c>
      <c r="AF24">
        <v>2.7166256390835071</v>
      </c>
      <c r="AG24">
        <v>2.7238897831644731</v>
      </c>
      <c r="AH24">
        <v>2.7002422661200147</v>
      </c>
      <c r="AI24">
        <v>2.7080843913368184</v>
      </c>
      <c r="AJ24">
        <v>2.6961506198154535</v>
      </c>
      <c r="AK24">
        <v>2.6789606035205367</v>
      </c>
      <c r="AL24">
        <v>2.6949404761904763</v>
      </c>
      <c r="AM24">
        <v>2.7316498633751061</v>
      </c>
      <c r="AN24">
        <v>2.6702098414734721</v>
      </c>
      <c r="AO24">
        <v>2.6634527089072542</v>
      </c>
      <c r="AP24">
        <v>2.6130087209302326</v>
      </c>
      <c r="AQ24">
        <v>2.6469885057471263</v>
      </c>
      <c r="AR24">
        <v>2.6548265390632189</v>
      </c>
      <c r="AS24">
        <v>2.6213398603934368</v>
      </c>
      <c r="AT24">
        <v>2.6307539861273761</v>
      </c>
      <c r="AU24">
        <v>2.6133739146003045</v>
      </c>
      <c r="AV24">
        <v>2.6218502519798417</v>
      </c>
      <c r="AW24">
        <v>2.6240344889527574</v>
      </c>
      <c r="AX24">
        <v>2.6363391171446553</v>
      </c>
      <c r="AY24">
        <v>2.6348070302591049</v>
      </c>
      <c r="AZ24">
        <v>2.605789049197957</v>
      </c>
      <c r="BA24">
        <v>2.5839598997493733</v>
      </c>
      <c r="BB24">
        <v>2.5913129318854886</v>
      </c>
      <c r="BC24">
        <v>2.5628262826282628</v>
      </c>
      <c r="BD24">
        <v>2.6042345276872965</v>
      </c>
      <c r="BE24">
        <v>2.5798334540188268</v>
      </c>
      <c r="BF24">
        <v>2.5777697255186158</v>
      </c>
      <c r="BG24">
        <v>2.5640147761059553</v>
      </c>
      <c r="BH24">
        <v>2.5371469688792949</v>
      </c>
      <c r="BI24">
        <v>2.5655166249553094</v>
      </c>
      <c r="BJ24">
        <v>2.5316061253561255</v>
      </c>
      <c r="BK24">
        <v>2.5220142602495543</v>
      </c>
      <c r="BL24">
        <v>2.542177170559718</v>
      </c>
      <c r="BM24">
        <v>2.5300062606206959</v>
      </c>
      <c r="BN24">
        <v>2.5513668036448096</v>
      </c>
      <c r="BO24">
        <v>2.5257270693512304</v>
      </c>
      <c r="BP24">
        <v>2.5299650631550659</v>
      </c>
      <c r="BQ24">
        <v>2.5125246018965828</v>
      </c>
      <c r="BR24">
        <v>2.4958699946130363</v>
      </c>
      <c r="BS24">
        <v>2.5033249460819555</v>
      </c>
    </row>
    <row r="27" spans="1:71" x14ac:dyDescent="0.3">
      <c r="B27">
        <v>0</v>
      </c>
      <c r="C27">
        <v>3.6</v>
      </c>
      <c r="D27">
        <v>7.1</v>
      </c>
      <c r="E27">
        <v>10.7</v>
      </c>
      <c r="F27">
        <v>14.2</v>
      </c>
      <c r="G27">
        <v>17.8</v>
      </c>
      <c r="H27">
        <v>21.4</v>
      </c>
      <c r="I27">
        <v>24.9</v>
      </c>
      <c r="J27">
        <v>28.5</v>
      </c>
      <c r="K27">
        <v>32</v>
      </c>
      <c r="L27">
        <v>35.6</v>
      </c>
      <c r="M27">
        <v>39.1</v>
      </c>
      <c r="N27">
        <v>42.7</v>
      </c>
      <c r="O27">
        <v>46.2</v>
      </c>
      <c r="P27">
        <v>49.8</v>
      </c>
      <c r="Q27">
        <v>53.4</v>
      </c>
      <c r="R27">
        <v>56.9</v>
      </c>
      <c r="S27">
        <v>60.5</v>
      </c>
      <c r="T27">
        <v>64</v>
      </c>
      <c r="U27">
        <v>67.599999999999994</v>
      </c>
      <c r="V27">
        <v>71.2</v>
      </c>
      <c r="W27">
        <v>74.7</v>
      </c>
      <c r="X27">
        <v>78.3</v>
      </c>
      <c r="Y27">
        <v>81.8</v>
      </c>
      <c r="Z27">
        <v>85.4</v>
      </c>
      <c r="AA27">
        <v>88.9</v>
      </c>
      <c r="AB27">
        <v>92.5</v>
      </c>
      <c r="AC27">
        <v>96</v>
      </c>
      <c r="AD27">
        <v>99.6</v>
      </c>
      <c r="AE27">
        <v>103.2</v>
      </c>
      <c r="AF27">
        <v>106.7</v>
      </c>
      <c r="AG27">
        <v>110.3</v>
      </c>
      <c r="AH27">
        <v>113.8</v>
      </c>
      <c r="AI27">
        <v>117.4</v>
      </c>
      <c r="AJ27">
        <v>121</v>
      </c>
      <c r="AK27">
        <v>124.5</v>
      </c>
      <c r="AL27">
        <v>128.1</v>
      </c>
      <c r="AM27">
        <v>131.6</v>
      </c>
      <c r="AN27">
        <v>135.19999999999999</v>
      </c>
      <c r="AO27">
        <v>138.80000000000001</v>
      </c>
      <c r="AP27">
        <v>142.30000000000001</v>
      </c>
      <c r="AQ27">
        <v>145.9</v>
      </c>
      <c r="AR27">
        <v>149.4</v>
      </c>
      <c r="AS27">
        <v>153</v>
      </c>
      <c r="AT27">
        <v>156.5</v>
      </c>
      <c r="AU27">
        <v>160.1</v>
      </c>
      <c r="AV27">
        <v>163.69999999999999</v>
      </c>
      <c r="AW27">
        <v>167.2</v>
      </c>
      <c r="AX27">
        <v>170.8</v>
      </c>
      <c r="AY27">
        <v>174.3</v>
      </c>
      <c r="AZ27">
        <v>177.9</v>
      </c>
      <c r="BA27">
        <v>181.5</v>
      </c>
      <c r="BB27">
        <v>185</v>
      </c>
      <c r="BC27">
        <v>188.6</v>
      </c>
      <c r="BD27">
        <v>192.1</v>
      </c>
      <c r="BE27">
        <v>195.7</v>
      </c>
      <c r="BF27">
        <v>199.3</v>
      </c>
      <c r="BG27">
        <v>202.8</v>
      </c>
      <c r="BH27">
        <v>206.4</v>
      </c>
      <c r="BI27">
        <v>209.9</v>
      </c>
      <c r="BJ27">
        <v>213.5</v>
      </c>
      <c r="BK27">
        <v>217</v>
      </c>
      <c r="BL27">
        <v>220.6</v>
      </c>
      <c r="BM27">
        <v>224.1</v>
      </c>
      <c r="BN27">
        <v>227.7</v>
      </c>
      <c r="BO27">
        <v>231.3</v>
      </c>
      <c r="BP27">
        <v>234.8</v>
      </c>
      <c r="BQ27">
        <v>238.4</v>
      </c>
    </row>
    <row r="28" spans="1:71" x14ac:dyDescent="0.3">
      <c r="A28" t="s">
        <v>93</v>
      </c>
      <c r="B28">
        <v>1.8472057074910821</v>
      </c>
      <c r="C28">
        <v>1.8454892505525418</v>
      </c>
      <c r="D28">
        <v>1.8020365378855945</v>
      </c>
      <c r="E28">
        <v>1.8240313190122466</v>
      </c>
      <c r="F28">
        <v>1.8560303309765345</v>
      </c>
      <c r="G28">
        <v>1.8473722102231822</v>
      </c>
      <c r="H28">
        <v>1.7995884773662552</v>
      </c>
      <c r="I28">
        <v>1.7823765020026703</v>
      </c>
      <c r="J28">
        <v>1.7604508196721311</v>
      </c>
      <c r="K28">
        <v>1.7751754023937267</v>
      </c>
      <c r="L28">
        <v>1.7289872898728986</v>
      </c>
      <c r="M28">
        <v>1.719251610264799</v>
      </c>
      <c r="N28">
        <v>1.7107522485690925</v>
      </c>
      <c r="O28">
        <v>1.6862005707297187</v>
      </c>
      <c r="P28">
        <v>1.6586704614759098</v>
      </c>
      <c r="Q28">
        <v>1.6599695585996956</v>
      </c>
      <c r="R28">
        <v>1.6144808194416549</v>
      </c>
      <c r="S28">
        <v>1.6122123717501744</v>
      </c>
      <c r="T28">
        <v>1.6170063246661981</v>
      </c>
      <c r="U28">
        <v>1.5919215919215919</v>
      </c>
      <c r="V28">
        <v>1.6070151033386328</v>
      </c>
      <c r="W28">
        <v>1.5859213250517599</v>
      </c>
      <c r="X28">
        <v>1.6005332806636381</v>
      </c>
      <c r="Y28">
        <v>1.5804086420960015</v>
      </c>
      <c r="Z28">
        <v>1.5542722912792404</v>
      </c>
      <c r="AA28">
        <v>1.563191385217817</v>
      </c>
      <c r="AB28">
        <v>1.5529794790844516</v>
      </c>
      <c r="AC28">
        <v>1.5469415408439799</v>
      </c>
      <c r="AD28">
        <v>1.5408602150537634</v>
      </c>
      <c r="AE28">
        <v>1.5316874027993779</v>
      </c>
      <c r="AF28">
        <v>1.537133326792897</v>
      </c>
      <c r="AG28">
        <v>1.5076743734214106</v>
      </c>
      <c r="AH28">
        <v>1.5173900264524347</v>
      </c>
      <c r="AI28">
        <v>1.4860329776915615</v>
      </c>
      <c r="AJ28">
        <v>1.4844280586009508</v>
      </c>
      <c r="AK28">
        <v>1.45873598763046</v>
      </c>
      <c r="AL28">
        <v>1.4964692036092586</v>
      </c>
      <c r="AM28">
        <v>1.4543685541934228</v>
      </c>
      <c r="AN28">
        <v>1.4571483659500626</v>
      </c>
      <c r="AO28">
        <v>1.4350744091041727</v>
      </c>
      <c r="AP28">
        <v>1.4204578665367755</v>
      </c>
      <c r="AQ28">
        <v>1.4282482541556014</v>
      </c>
      <c r="AR28">
        <v>1.4115758754863814</v>
      </c>
      <c r="AS28">
        <v>1.4164466607998436</v>
      </c>
      <c r="AT28">
        <v>1.3927980535279805</v>
      </c>
      <c r="AU28">
        <v>1.3851579862788674</v>
      </c>
      <c r="AV28">
        <v>1.3738834951456311</v>
      </c>
      <c r="AW28">
        <v>1.3576952822892498</v>
      </c>
      <c r="AX28">
        <v>1.3527023107415643</v>
      </c>
      <c r="AY28">
        <v>1.3463546702765423</v>
      </c>
      <c r="AZ28">
        <v>1.3510330179571346</v>
      </c>
      <c r="BA28">
        <v>1.3274780426599748</v>
      </c>
      <c r="BB28">
        <v>1.3146230523565277</v>
      </c>
      <c r="BC28">
        <v>1.3074480369515011</v>
      </c>
      <c r="BD28">
        <v>1.3137423547400611</v>
      </c>
      <c r="BE28">
        <v>1.3011385565418758</v>
      </c>
      <c r="BF28">
        <v>1.2823506891271057</v>
      </c>
      <c r="BG28">
        <v>1.2934437277365938</v>
      </c>
      <c r="BH28">
        <v>1.289802695839031</v>
      </c>
      <c r="BI28">
        <v>1.2492263056092843</v>
      </c>
      <c r="BJ28">
        <v>1.2768976576926816</v>
      </c>
      <c r="BK28">
        <v>1.2716336825766394</v>
      </c>
      <c r="BL28">
        <v>1.2523656228660618</v>
      </c>
      <c r="BM28">
        <v>1.2518055826664065</v>
      </c>
      <c r="BN28">
        <v>1.2499507777121481</v>
      </c>
      <c r="BO28">
        <v>1.2524433150899139</v>
      </c>
      <c r="BP28">
        <v>1.2521585557299844</v>
      </c>
      <c r="BQ28">
        <v>1.2298009367681499</v>
      </c>
    </row>
    <row r="29" spans="1:71" x14ac:dyDescent="0.3">
      <c r="A29" t="s">
        <v>94</v>
      </c>
      <c r="B29">
        <v>3.0565053607649957</v>
      </c>
      <c r="C29">
        <v>3.0381073667711598</v>
      </c>
      <c r="D29">
        <v>3.0402926829268293</v>
      </c>
      <c r="E29">
        <v>2.9837837837837839</v>
      </c>
      <c r="F29">
        <v>3.0373684728095189</v>
      </c>
      <c r="G29">
        <v>3.0265069703514627</v>
      </c>
      <c r="H29">
        <v>2.9631043256997454</v>
      </c>
      <c r="I29">
        <v>2.9701886423614505</v>
      </c>
      <c r="J29">
        <v>2.9790709046454769</v>
      </c>
      <c r="K29">
        <v>2.93896255850234</v>
      </c>
      <c r="L29">
        <v>3.0592563903950425</v>
      </c>
      <c r="M29">
        <v>2.9599458204334366</v>
      </c>
      <c r="N29">
        <v>2.9773742474266847</v>
      </c>
      <c r="O29">
        <v>2.9457236842105261</v>
      </c>
      <c r="P29">
        <v>2.9493402677453529</v>
      </c>
      <c r="Q29">
        <v>2.9557436982874736</v>
      </c>
      <c r="R29">
        <v>2.9558048125778926</v>
      </c>
      <c r="S29">
        <v>2.9212733511246665</v>
      </c>
      <c r="T29">
        <v>2.9367149295234443</v>
      </c>
      <c r="U29">
        <v>2.9271491479992342</v>
      </c>
      <c r="V29">
        <v>2.8910550458715596</v>
      </c>
      <c r="W29">
        <v>2.9106766340808896</v>
      </c>
      <c r="X29">
        <v>2.896371082960282</v>
      </c>
      <c r="Y29">
        <v>2.9052903472687266</v>
      </c>
      <c r="Z29">
        <v>2.9134282416313968</v>
      </c>
      <c r="AA29">
        <v>2.863141820958198</v>
      </c>
      <c r="AB29">
        <v>2.854812553658304</v>
      </c>
      <c r="AC29">
        <v>2.8485108002664381</v>
      </c>
      <c r="AD29">
        <v>2.8651642475171886</v>
      </c>
      <c r="AE29">
        <v>2.8462640932543475</v>
      </c>
      <c r="AF29">
        <v>2.853508095605243</v>
      </c>
      <c r="AG29">
        <v>2.8195974173946068</v>
      </c>
      <c r="AH29">
        <v>2.8522124746939168</v>
      </c>
      <c r="AI29">
        <v>2.8435250071997697</v>
      </c>
      <c r="AJ29">
        <v>2.8195881180601687</v>
      </c>
      <c r="AK29">
        <v>2.837538226299694</v>
      </c>
      <c r="AL29">
        <v>2.8073853255120684</v>
      </c>
      <c r="AM29">
        <v>2.8253342310281813</v>
      </c>
      <c r="AN29">
        <v>2.8371892099452816</v>
      </c>
      <c r="AO29">
        <v>2.8010711553175209</v>
      </c>
      <c r="AP29">
        <v>2.817788877149169</v>
      </c>
      <c r="AQ29">
        <v>2.8140367860600195</v>
      </c>
      <c r="AR29">
        <v>2.8192608318054617</v>
      </c>
      <c r="AS29">
        <v>2.7984981226533168</v>
      </c>
      <c r="AT29">
        <v>2.820307281229125</v>
      </c>
      <c r="AU29">
        <v>3.0684931506849313</v>
      </c>
      <c r="AV29">
        <v>2.7682728230673437</v>
      </c>
      <c r="AW29">
        <v>2.8079106919449526</v>
      </c>
      <c r="AX29">
        <v>2.7731919365625299</v>
      </c>
      <c r="AY29">
        <v>2.756798161623899</v>
      </c>
      <c r="AZ29">
        <v>2.7876165113182423</v>
      </c>
      <c r="BA29">
        <v>2.7475672581568404</v>
      </c>
      <c r="BB29">
        <v>2.7422375083596062</v>
      </c>
      <c r="BC29">
        <v>2.7464142283419393</v>
      </c>
      <c r="BD29">
        <v>2.754742033383915</v>
      </c>
      <c r="BE29">
        <v>2.715140577507599</v>
      </c>
      <c r="BF29">
        <v>2.7431906614785992</v>
      </c>
      <c r="BG29">
        <v>2.7019736842105262</v>
      </c>
      <c r="BH29">
        <v>2.6986786671773269</v>
      </c>
      <c r="BI29">
        <v>2.6980932203389831</v>
      </c>
      <c r="BJ29">
        <v>2.6846742182205441</v>
      </c>
      <c r="BK29">
        <v>2.6884556574923546</v>
      </c>
      <c r="BL29">
        <v>2.7636694436464619</v>
      </c>
      <c r="BM29">
        <v>2.8749880804805952</v>
      </c>
      <c r="BN29">
        <v>2.6887057682985942</v>
      </c>
      <c r="BO29">
        <v>2.651002865329513</v>
      </c>
      <c r="BP29">
        <v>2.6309410192784881</v>
      </c>
      <c r="BQ29">
        <v>2.6740273396424814</v>
      </c>
    </row>
    <row r="31" spans="1:71" x14ac:dyDescent="0.3">
      <c r="B31">
        <v>0</v>
      </c>
      <c r="C31">
        <v>3.7</v>
      </c>
      <c r="D31">
        <v>7.4</v>
      </c>
      <c r="E31">
        <v>11</v>
      </c>
      <c r="F31">
        <v>14.7</v>
      </c>
      <c r="G31">
        <v>18.399999999999999</v>
      </c>
      <c r="H31">
        <v>22.1</v>
      </c>
      <c r="I31">
        <v>25.7</v>
      </c>
      <c r="J31">
        <v>29.4</v>
      </c>
      <c r="K31">
        <v>33.1</v>
      </c>
      <c r="L31">
        <v>36.799999999999997</v>
      </c>
      <c r="M31">
        <v>40.4</v>
      </c>
      <c r="N31">
        <v>44.1</v>
      </c>
      <c r="O31">
        <v>47.8</v>
      </c>
      <c r="P31">
        <v>51.5</v>
      </c>
      <c r="Q31">
        <v>55.1</v>
      </c>
      <c r="R31">
        <v>58.8</v>
      </c>
      <c r="S31">
        <v>62.5</v>
      </c>
      <c r="T31">
        <v>66.2</v>
      </c>
      <c r="U31">
        <v>69.900000000000006</v>
      </c>
      <c r="V31">
        <v>73.5</v>
      </c>
      <c r="W31">
        <v>77.2</v>
      </c>
      <c r="X31">
        <v>80.900000000000006</v>
      </c>
      <c r="Y31">
        <v>84.6</v>
      </c>
      <c r="Z31">
        <v>88.2</v>
      </c>
      <c r="AA31">
        <v>91.9</v>
      </c>
      <c r="AB31">
        <v>95.6</v>
      </c>
      <c r="AC31">
        <v>99.3</v>
      </c>
      <c r="AD31">
        <v>102.9</v>
      </c>
      <c r="AE31">
        <v>106.6</v>
      </c>
      <c r="AF31">
        <v>110.3</v>
      </c>
      <c r="AG31">
        <v>114</v>
      </c>
      <c r="AH31">
        <v>117.6</v>
      </c>
      <c r="AI31">
        <v>121.3</v>
      </c>
      <c r="AJ31">
        <v>125</v>
      </c>
      <c r="AK31">
        <v>128.69999999999999</v>
      </c>
      <c r="AL31">
        <v>132.30000000000001</v>
      </c>
      <c r="AM31">
        <v>136</v>
      </c>
      <c r="AN31">
        <v>139.69999999999999</v>
      </c>
      <c r="AO31">
        <v>143.4</v>
      </c>
      <c r="AP31">
        <v>147.1</v>
      </c>
      <c r="AQ31">
        <v>150.69999999999999</v>
      </c>
      <c r="AR31">
        <v>154.4</v>
      </c>
      <c r="AS31">
        <v>158.1</v>
      </c>
      <c r="AT31">
        <v>161.80000000000001</v>
      </c>
      <c r="AU31">
        <v>165.4</v>
      </c>
      <c r="AV31">
        <v>169.1</v>
      </c>
      <c r="AW31">
        <v>172.8</v>
      </c>
      <c r="AX31">
        <v>176.5</v>
      </c>
      <c r="AY31">
        <v>180.1</v>
      </c>
      <c r="AZ31">
        <v>183.8</v>
      </c>
      <c r="BA31">
        <v>187.5</v>
      </c>
      <c r="BB31">
        <v>191.2</v>
      </c>
      <c r="BC31">
        <v>194.8</v>
      </c>
      <c r="BD31">
        <v>198.5</v>
      </c>
      <c r="BE31">
        <v>202.2</v>
      </c>
      <c r="BF31">
        <v>205.9</v>
      </c>
      <c r="BG31">
        <v>209.5</v>
      </c>
      <c r="BH31">
        <v>213.2</v>
      </c>
      <c r="BI31">
        <v>216.9</v>
      </c>
      <c r="BJ31">
        <v>220.6</v>
      </c>
      <c r="BK31">
        <v>224.3</v>
      </c>
      <c r="BL31">
        <v>227.9</v>
      </c>
      <c r="BM31">
        <v>231.6</v>
      </c>
      <c r="BN31">
        <v>235.3</v>
      </c>
      <c r="BO31">
        <v>239</v>
      </c>
    </row>
    <row r="32" spans="1:71" x14ac:dyDescent="0.3">
      <c r="A32" t="s">
        <v>93</v>
      </c>
      <c r="B32">
        <v>1.3145006268282491</v>
      </c>
      <c r="C32">
        <v>1.3405368321756281</v>
      </c>
      <c r="D32">
        <v>1.3320889190565077</v>
      </c>
      <c r="E32">
        <v>1.317027758970887</v>
      </c>
      <c r="F32">
        <v>1.354424893819884</v>
      </c>
      <c r="G32">
        <v>1.3284259180005136</v>
      </c>
      <c r="H32">
        <v>1.3132776546787115</v>
      </c>
      <c r="I32">
        <v>1.3194240882834727</v>
      </c>
      <c r="J32">
        <v>1.2766990291262137</v>
      </c>
      <c r="K32">
        <v>1.2788091367952776</v>
      </c>
      <c r="L32">
        <v>1.2535438417791358</v>
      </c>
      <c r="M32">
        <v>1.2712716122987819</v>
      </c>
      <c r="N32">
        <v>1.2377574566276386</v>
      </c>
      <c r="O32">
        <v>1.2245158002038736</v>
      </c>
      <c r="P32">
        <v>1.2147610921501706</v>
      </c>
      <c r="Q32">
        <v>1.1605539236256819</v>
      </c>
      <c r="R32">
        <v>1.1614859742228962</v>
      </c>
      <c r="S32">
        <v>1.1396777943863146</v>
      </c>
      <c r="T32">
        <v>1.1279853540817175</v>
      </c>
      <c r="U32">
        <v>1.1093178036605658</v>
      </c>
      <c r="V32">
        <v>1.0726943047885931</v>
      </c>
      <c r="W32">
        <v>1.0753340437740799</v>
      </c>
      <c r="X32">
        <v>1.0885226896323286</v>
      </c>
      <c r="Y32">
        <v>1.0740130223357784</v>
      </c>
      <c r="Z32">
        <v>1.0717936036927136</v>
      </c>
      <c r="AA32">
        <v>1.0651709401709402</v>
      </c>
      <c r="AB32">
        <v>1.0547650562541364</v>
      </c>
      <c r="AC32">
        <v>1.050574332699777</v>
      </c>
      <c r="AD32">
        <v>1.0675799086757991</v>
      </c>
      <c r="AE32">
        <v>1.0352960717548376</v>
      </c>
      <c r="AF32">
        <v>1.0247343957503321</v>
      </c>
      <c r="AG32">
        <v>1.0084186200066028</v>
      </c>
      <c r="AH32">
        <v>1.0037828947368421</v>
      </c>
      <c r="AI32">
        <v>1.0255535208922923</v>
      </c>
      <c r="AJ32">
        <v>1.0052722629541149</v>
      </c>
      <c r="AK32">
        <v>0.99176615891313302</v>
      </c>
      <c r="AL32">
        <v>0.98283226548381797</v>
      </c>
      <c r="AM32">
        <v>0.9695081967213115</v>
      </c>
      <c r="AN32">
        <v>0.96517453798767971</v>
      </c>
      <c r="AO32">
        <v>0.95579155346999256</v>
      </c>
      <c r="AP32">
        <v>0.94847659152836261</v>
      </c>
      <c r="AQ32">
        <v>0.94429686202888929</v>
      </c>
      <c r="AR32">
        <v>0.95000418725399882</v>
      </c>
      <c r="AS32">
        <v>0.92666888629931743</v>
      </c>
      <c r="AT32">
        <v>0.93304245678805164</v>
      </c>
      <c r="AU32">
        <v>0.93233839188396073</v>
      </c>
      <c r="AV32">
        <v>0.91986699916874481</v>
      </c>
      <c r="AW32">
        <v>0.928654775795966</v>
      </c>
      <c r="AX32">
        <v>0.91754897874114216</v>
      </c>
      <c r="AY32">
        <v>0.90144568360181743</v>
      </c>
      <c r="AZ32">
        <v>0.88478010212485592</v>
      </c>
      <c r="BA32">
        <v>0.88744804655029097</v>
      </c>
      <c r="BB32">
        <v>0.86909817636772424</v>
      </c>
      <c r="BC32">
        <v>0.87029463316918454</v>
      </c>
      <c r="BD32">
        <v>0.84427658338175482</v>
      </c>
      <c r="BE32">
        <v>0.86170748071117076</v>
      </c>
      <c r="BF32">
        <v>0.87164605938262263</v>
      </c>
      <c r="BG32">
        <v>0.86308973172987979</v>
      </c>
      <c r="BH32">
        <v>0.87244854747183875</v>
      </c>
      <c r="BI32">
        <v>0.85048380311316785</v>
      </c>
      <c r="BJ32">
        <v>0.82788469619295735</v>
      </c>
      <c r="BK32">
        <v>0.82455992588225391</v>
      </c>
      <c r="BL32">
        <v>0.81886666108646522</v>
      </c>
      <c r="BM32">
        <v>0.82550562748582546</v>
      </c>
      <c r="BN32">
        <v>0.82312640989222152</v>
      </c>
      <c r="BO32">
        <v>0.80870930424723186</v>
      </c>
    </row>
    <row r="33" spans="1:67" x14ac:dyDescent="0.3">
      <c r="A33" t="s">
        <v>94</v>
      </c>
      <c r="B33">
        <v>2.8834705509816341</v>
      </c>
      <c r="C33">
        <v>2.8678749433620299</v>
      </c>
      <c r="D33">
        <v>2.848804691023906</v>
      </c>
      <c r="E33">
        <v>2.8086491306286225</v>
      </c>
      <c r="F33">
        <v>2.8332730560578661</v>
      </c>
      <c r="G33">
        <v>2.7959366329544437</v>
      </c>
      <c r="H33">
        <v>2.7707887223411847</v>
      </c>
      <c r="I33">
        <v>2.7590470174172008</v>
      </c>
      <c r="J33">
        <v>2.7214298609857375</v>
      </c>
      <c r="K33">
        <v>2.7018175274428651</v>
      </c>
      <c r="L33">
        <v>2.6368454145333691</v>
      </c>
      <c r="M33">
        <v>2.5926822706483725</v>
      </c>
      <c r="N33">
        <v>2.6051703877790833</v>
      </c>
      <c r="O33">
        <v>2.5577302926916863</v>
      </c>
      <c r="P33">
        <v>2.5105140186915889</v>
      </c>
      <c r="Q33">
        <v>2.5415770609318997</v>
      </c>
      <c r="R33">
        <v>2.5425053918044571</v>
      </c>
      <c r="S33">
        <v>2.4956808264315611</v>
      </c>
      <c r="T33">
        <v>2.4812677556818183</v>
      </c>
      <c r="U33">
        <v>2.4439007029095117</v>
      </c>
      <c r="V33">
        <v>2.4648465381870093</v>
      </c>
      <c r="W33">
        <v>2.4961068837373914</v>
      </c>
      <c r="X33">
        <v>2.4123356569310861</v>
      </c>
      <c r="Y33">
        <v>2.4486782777826894</v>
      </c>
      <c r="Z33">
        <v>2.4106594082008956</v>
      </c>
      <c r="AA33">
        <v>2.4324561403508773</v>
      </c>
      <c r="AB33">
        <v>2.4308248149453648</v>
      </c>
      <c r="AC33">
        <v>2.4106403593763761</v>
      </c>
      <c r="AD33">
        <v>2.4490261449377084</v>
      </c>
      <c r="AE33">
        <v>2.4590669014084505</v>
      </c>
      <c r="AF33">
        <v>2.473726185201595</v>
      </c>
      <c r="AG33">
        <v>2.4732008830022076</v>
      </c>
      <c r="AH33">
        <v>2.4696103439176706</v>
      </c>
      <c r="AI33">
        <v>2.4543777992447526</v>
      </c>
      <c r="AJ33">
        <v>2.4680962800875275</v>
      </c>
      <c r="AK33">
        <v>2.4708461201227534</v>
      </c>
      <c r="AL33">
        <v>2.4631486367634126</v>
      </c>
      <c r="AM33">
        <v>2.4333741901593418</v>
      </c>
      <c r="AN33">
        <v>2.4248303462676177</v>
      </c>
      <c r="AO33">
        <v>2.4036218004527252</v>
      </c>
      <c r="AP33">
        <v>2.4033818530462825</v>
      </c>
      <c r="AQ33">
        <v>2.4535973130634612</v>
      </c>
      <c r="AR33">
        <v>2.4317659536856993</v>
      </c>
      <c r="AS33">
        <v>2.422001406964474</v>
      </c>
      <c r="AT33">
        <v>2.4099126907134667</v>
      </c>
      <c r="AU33">
        <v>2.4249090747804489</v>
      </c>
      <c r="AV33">
        <v>2.3929041889874418</v>
      </c>
      <c r="AW33">
        <v>2.367902104058456</v>
      </c>
      <c r="AX33">
        <v>2.3588457816486321</v>
      </c>
      <c r="AY33">
        <v>2.3384655760650861</v>
      </c>
      <c r="AZ33">
        <v>2.2714743867556555</v>
      </c>
      <c r="BA33">
        <v>2.3108237966279375</v>
      </c>
      <c r="BB33">
        <v>2.3124448367166814</v>
      </c>
      <c r="BC33">
        <v>2.2955963786586975</v>
      </c>
      <c r="BD33">
        <v>2.299021767868159</v>
      </c>
      <c r="BE33">
        <v>2.2814782226132864</v>
      </c>
      <c r="BF33">
        <v>2.2716788449687471</v>
      </c>
      <c r="BG33">
        <v>2.2642355008787347</v>
      </c>
      <c r="BH33">
        <v>2.2427766032417193</v>
      </c>
      <c r="BI33">
        <v>2.2625530410183874</v>
      </c>
      <c r="BJ33">
        <v>2.3000715307582262</v>
      </c>
      <c r="BK33">
        <v>2.3005018820577163</v>
      </c>
      <c r="BL33">
        <v>2.2861096232815568</v>
      </c>
      <c r="BM33">
        <v>2.235833110933191</v>
      </c>
      <c r="BN33">
        <v>2.208531641106998</v>
      </c>
      <c r="BO33">
        <v>2.2119379437286355</v>
      </c>
    </row>
    <row r="35" spans="1:67" x14ac:dyDescent="0.3">
      <c r="B35">
        <v>0</v>
      </c>
      <c r="C35">
        <v>3.8</v>
      </c>
      <c r="D35">
        <v>7.6</v>
      </c>
      <c r="E35">
        <v>11.4</v>
      </c>
      <c r="F35">
        <v>15.1</v>
      </c>
      <c r="G35">
        <v>18.899999999999999</v>
      </c>
      <c r="H35">
        <v>22.7</v>
      </c>
      <c r="I35">
        <v>26.5</v>
      </c>
      <c r="J35">
        <v>30.3</v>
      </c>
      <c r="K35">
        <v>34.1</v>
      </c>
      <c r="L35">
        <v>37.9</v>
      </c>
      <c r="M35">
        <v>41.6</v>
      </c>
      <c r="N35">
        <v>45.4</v>
      </c>
      <c r="O35">
        <v>49.2</v>
      </c>
      <c r="P35">
        <v>53</v>
      </c>
      <c r="Q35">
        <v>56.8</v>
      </c>
      <c r="R35">
        <v>60.6</v>
      </c>
      <c r="S35">
        <v>64.400000000000006</v>
      </c>
      <c r="T35">
        <v>68.099999999999994</v>
      </c>
      <c r="U35">
        <v>71.900000000000006</v>
      </c>
      <c r="V35">
        <v>75.7</v>
      </c>
      <c r="W35">
        <v>79.5</v>
      </c>
      <c r="X35">
        <v>83.3</v>
      </c>
      <c r="Y35">
        <v>87.1</v>
      </c>
      <c r="Z35">
        <v>90.9</v>
      </c>
      <c r="AA35">
        <v>94.7</v>
      </c>
      <c r="AB35">
        <v>98.4</v>
      </c>
      <c r="AC35">
        <v>102.2</v>
      </c>
      <c r="AD35">
        <v>106</v>
      </c>
      <c r="AE35">
        <v>109.8</v>
      </c>
      <c r="AF35">
        <v>113.6</v>
      </c>
      <c r="AG35">
        <v>117.4</v>
      </c>
      <c r="AH35">
        <v>121.2</v>
      </c>
      <c r="AI35">
        <v>124.9</v>
      </c>
      <c r="AJ35">
        <v>128.69999999999999</v>
      </c>
      <c r="AK35">
        <v>132.5</v>
      </c>
      <c r="AL35">
        <v>136.30000000000001</v>
      </c>
      <c r="AM35">
        <v>140.1</v>
      </c>
      <c r="AN35">
        <v>143.9</v>
      </c>
      <c r="AO35">
        <v>147.69999999999999</v>
      </c>
      <c r="AP35">
        <v>151.4</v>
      </c>
      <c r="AQ35">
        <v>155.19999999999999</v>
      </c>
      <c r="AR35">
        <v>159</v>
      </c>
      <c r="AS35">
        <v>162.80000000000001</v>
      </c>
      <c r="AT35">
        <v>166.6</v>
      </c>
      <c r="AU35">
        <v>170.4</v>
      </c>
      <c r="AV35">
        <v>174.2</v>
      </c>
      <c r="AW35">
        <v>177.9</v>
      </c>
      <c r="AX35">
        <v>181.7</v>
      </c>
      <c r="AY35">
        <v>185.5</v>
      </c>
      <c r="AZ35">
        <v>189.3</v>
      </c>
      <c r="BA35">
        <v>193.1</v>
      </c>
      <c r="BB35">
        <v>196.9</v>
      </c>
      <c r="BC35">
        <v>200.7</v>
      </c>
      <c r="BD35">
        <v>204.4</v>
      </c>
      <c r="BE35">
        <v>208.2</v>
      </c>
      <c r="BF35">
        <v>212</v>
      </c>
      <c r="BG35">
        <v>215.8</v>
      </c>
      <c r="BH35">
        <v>219.6</v>
      </c>
      <c r="BI35">
        <v>223.4</v>
      </c>
      <c r="BJ35">
        <v>227.2</v>
      </c>
      <c r="BK35">
        <v>230.9</v>
      </c>
      <c r="BL35">
        <v>234.7</v>
      </c>
      <c r="BM35">
        <v>238.5</v>
      </c>
    </row>
    <row r="36" spans="1:67" x14ac:dyDescent="0.3">
      <c r="A36" t="s">
        <v>93</v>
      </c>
      <c r="B36">
        <v>1.4129956999522217</v>
      </c>
      <c r="C36">
        <v>1.403093281778637</v>
      </c>
      <c r="D36">
        <v>1.4221066064592127</v>
      </c>
      <c r="E36">
        <v>1.3901125795398923</v>
      </c>
      <c r="F36">
        <v>1.4033844942935851</v>
      </c>
      <c r="G36">
        <v>1.4243270189431705</v>
      </c>
      <c r="H36">
        <v>1.4134005037783375</v>
      </c>
      <c r="I36">
        <v>1.3851739788199697</v>
      </c>
      <c r="J36">
        <v>1.353543465167637</v>
      </c>
      <c r="K36">
        <v>1.3328310227044404</v>
      </c>
      <c r="L36">
        <v>1.3249571096982542</v>
      </c>
      <c r="M36">
        <v>1.2958341718655666</v>
      </c>
      <c r="N36">
        <v>1.2575742325113235</v>
      </c>
      <c r="O36">
        <v>1.2236012411170054</v>
      </c>
      <c r="P36">
        <v>1.1936416184971099</v>
      </c>
      <c r="Q36">
        <v>1.1948814977096196</v>
      </c>
      <c r="R36">
        <v>1.1742469579094355</v>
      </c>
      <c r="S36">
        <v>1.1512327119663259</v>
      </c>
      <c r="T36">
        <v>1.1458867626750839</v>
      </c>
      <c r="U36">
        <v>1.1086785784409974</v>
      </c>
      <c r="V36">
        <v>1.0946542422756254</v>
      </c>
      <c r="W36">
        <v>1.0985558157689306</v>
      </c>
      <c r="X36">
        <v>1.0862085722616386</v>
      </c>
      <c r="Y36">
        <v>1.0810627363521768</v>
      </c>
      <c r="Z36">
        <v>1.0735251380412671</v>
      </c>
      <c r="AA36">
        <v>1.0639969342785975</v>
      </c>
      <c r="AB36">
        <v>1.0500333555703802</v>
      </c>
      <c r="AC36">
        <v>1.0439896719900545</v>
      </c>
      <c r="AD36">
        <v>1.0183564770781814</v>
      </c>
      <c r="AE36">
        <v>1.0245486674945077</v>
      </c>
      <c r="AF36">
        <v>1.0087619047619047</v>
      </c>
      <c r="AG36">
        <v>1.0044465468306527</v>
      </c>
      <c r="AH36">
        <v>1.0208074830581273</v>
      </c>
      <c r="AI36">
        <v>0.9960814298002485</v>
      </c>
      <c r="AJ36">
        <v>1.0059171597633136</v>
      </c>
      <c r="AK36">
        <v>1.0033358749523447</v>
      </c>
      <c r="AL36">
        <v>0.99109792284866471</v>
      </c>
      <c r="AM36">
        <v>0.98262768179229165</v>
      </c>
      <c r="AN36">
        <v>0.98261201872551829</v>
      </c>
      <c r="AO36">
        <v>0.97279299847792999</v>
      </c>
      <c r="AP36">
        <v>0.95071888006053729</v>
      </c>
      <c r="AQ36">
        <v>0.96277511961722484</v>
      </c>
      <c r="AR36">
        <v>0.9403141361256544</v>
      </c>
      <c r="AS36">
        <v>0.93203607024205026</v>
      </c>
      <c r="AT36">
        <v>0.93516924842226046</v>
      </c>
      <c r="AU36">
        <v>0.9425243092326947</v>
      </c>
      <c r="AV36">
        <v>0.9203267659778952</v>
      </c>
      <c r="AW36">
        <v>0.90531640736852148</v>
      </c>
      <c r="AX36">
        <v>0.88769083969465645</v>
      </c>
      <c r="AY36">
        <v>0.89231503579952265</v>
      </c>
      <c r="AZ36">
        <v>0.88479087452471483</v>
      </c>
      <c r="BA36">
        <v>0.86881966276078881</v>
      </c>
      <c r="BB36">
        <v>0.8621779523034192</v>
      </c>
      <c r="BC36">
        <v>0.84556937980814895</v>
      </c>
      <c r="BD36">
        <v>0.84862518089725036</v>
      </c>
      <c r="BE36">
        <v>0.8284864190421346</v>
      </c>
      <c r="BF36">
        <v>0.81657029102284573</v>
      </c>
      <c r="BG36">
        <v>0.80722891566265065</v>
      </c>
      <c r="BH36">
        <v>0.82005017367811661</v>
      </c>
      <c r="BI36">
        <v>0.8254181888098443</v>
      </c>
      <c r="BJ36">
        <v>0.81100086696850016</v>
      </c>
      <c r="BK36">
        <v>0.80798368298368295</v>
      </c>
      <c r="BL36">
        <v>0.79242190512919397</v>
      </c>
      <c r="BM36">
        <v>0.77511273145927273</v>
      </c>
    </row>
    <row r="37" spans="1:67" x14ac:dyDescent="0.3">
      <c r="A37" t="s">
        <v>94</v>
      </c>
      <c r="B37">
        <v>3.0273858150761233</v>
      </c>
      <c r="C37">
        <v>3.0447691299054043</v>
      </c>
      <c r="D37">
        <v>2.9972093023255812</v>
      </c>
      <c r="E37">
        <v>3.0603085553997196</v>
      </c>
      <c r="F37">
        <v>3.0555451127819548</v>
      </c>
      <c r="G37">
        <v>3.0718420802885071</v>
      </c>
      <c r="H37">
        <v>3.033823252308272</v>
      </c>
      <c r="I37">
        <v>3.0466527593400343</v>
      </c>
      <c r="J37">
        <v>3.0984154257350132</v>
      </c>
      <c r="K37">
        <v>3.0780189310641553</v>
      </c>
      <c r="L37">
        <v>3.1076552720269621</v>
      </c>
      <c r="M37">
        <v>3.1200618178305803</v>
      </c>
      <c r="N37">
        <v>3.1710616606215076</v>
      </c>
      <c r="O37">
        <v>3.1188400117566375</v>
      </c>
      <c r="P37">
        <v>3.1046807677242461</v>
      </c>
      <c r="Q37">
        <v>3.1208823529411767</v>
      </c>
      <c r="R37">
        <v>3.1349511689849066</v>
      </c>
      <c r="S37">
        <v>3.0891763776417145</v>
      </c>
      <c r="T37">
        <v>3.1015548120448733</v>
      </c>
      <c r="U37">
        <v>3.0892612188908486</v>
      </c>
      <c r="V37">
        <v>3.0956316410861864</v>
      </c>
      <c r="W37">
        <v>3.0609364353158766</v>
      </c>
      <c r="X37">
        <v>3.0365252681418493</v>
      </c>
      <c r="Y37">
        <v>3.0198086771668762</v>
      </c>
      <c r="Z37">
        <v>3.0053058074474244</v>
      </c>
      <c r="AA37">
        <v>2.9760084113936149</v>
      </c>
      <c r="AB37">
        <v>2.9676224838587162</v>
      </c>
      <c r="AC37">
        <v>2.9426781816456296</v>
      </c>
      <c r="AD37">
        <v>2.8972253680634203</v>
      </c>
      <c r="AE37">
        <v>2.904497030263034</v>
      </c>
      <c r="AF37">
        <v>2.8716688716688719</v>
      </c>
      <c r="AG37">
        <v>2.8609500654572657</v>
      </c>
      <c r="AH37">
        <v>2.8389091931402866</v>
      </c>
      <c r="AI37">
        <v>2.8467598236893932</v>
      </c>
      <c r="AJ37">
        <v>2.8358693635182779</v>
      </c>
      <c r="AK37">
        <v>2.8283957518166574</v>
      </c>
      <c r="AL37">
        <v>2.8436005625879042</v>
      </c>
      <c r="AM37">
        <v>2.8408269212941502</v>
      </c>
      <c r="AN37">
        <v>2.8565931487564522</v>
      </c>
      <c r="AO37">
        <v>2.8165487714072972</v>
      </c>
      <c r="AP37">
        <v>2.7964847363552265</v>
      </c>
      <c r="AQ37">
        <v>2.8191509257527585</v>
      </c>
      <c r="AR37">
        <v>2.8319178721418572</v>
      </c>
      <c r="AS37">
        <v>2.8504533133937753</v>
      </c>
      <c r="AT37">
        <v>2.8312464959820596</v>
      </c>
      <c r="AU37">
        <v>2.8318071388525508</v>
      </c>
      <c r="AV37">
        <v>2.8343328335832085</v>
      </c>
      <c r="AW37">
        <v>2.8612435717625058</v>
      </c>
      <c r="AX37">
        <v>2.8492197781537882</v>
      </c>
      <c r="AY37">
        <v>2.8189955714689532</v>
      </c>
      <c r="AZ37">
        <v>2.7913426403073176</v>
      </c>
      <c r="BA37">
        <v>2.8468037172627429</v>
      </c>
      <c r="BB37">
        <v>2.8649436090225562</v>
      </c>
      <c r="BC37">
        <v>2.8428890543559198</v>
      </c>
      <c r="BD37">
        <v>2.8090900554042633</v>
      </c>
      <c r="BE37">
        <v>2.8085727743758833</v>
      </c>
      <c r="BF37">
        <v>2.8095683049897215</v>
      </c>
      <c r="BG37">
        <v>2.8006019563581641</v>
      </c>
      <c r="BH37">
        <v>2.7934227934227933</v>
      </c>
      <c r="BI37">
        <v>2.7634744719143698</v>
      </c>
      <c r="BJ37">
        <v>2.7503532736693357</v>
      </c>
      <c r="BK37">
        <v>2.8083809523809524</v>
      </c>
      <c r="BL37">
        <v>2.8070557079353069</v>
      </c>
      <c r="BM37">
        <v>2.8021535580524346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Sheet3</vt:lpstr>
      <vt:lpstr>Sheet0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kobbe</dc:creator>
  <cp:lastModifiedBy>marvin kobbe</cp:lastModifiedBy>
  <dcterms:created xsi:type="dcterms:W3CDTF">2025-11-05T15:23:04Z</dcterms:created>
  <dcterms:modified xsi:type="dcterms:W3CDTF">2025-11-06T09:24:55Z</dcterms:modified>
</cp:coreProperties>
</file>